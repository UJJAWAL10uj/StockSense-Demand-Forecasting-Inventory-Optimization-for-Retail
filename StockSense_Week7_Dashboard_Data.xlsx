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d0d2768c6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51fae4abd2f48cf"/>
    <x:sheet xmlns:r="http://schemas.openxmlformats.org/officeDocument/2006/relationships" name="Parameters" sheetId="2" r:id="R88e23035eb604501"/>
    <x:sheet xmlns:r="http://schemas.openxmlformats.org/officeDocument/2006/relationships" name="Portfolio Forecast" sheetId="3" r:id="R6a0834f3452c42e3"/>
    <x:sheet xmlns:r="http://schemas.openxmlformats.org/officeDocument/2006/relationships" name="Top Items" sheetId="4" r:id="R3ac4409e01ba4edf"/>
    <x:sheet xmlns:r="http://schemas.openxmlformats.org/officeDocument/2006/relationships" name="SKU Inventory Inputs" sheetId="5" r:id="R40ecd2b07b6e44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"/>
    <x:numFmt numFmtId="202" formatCode="#,##0"/>
    <x:numFmt numFmtId="203" formatCode="#,##0.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5" borderId="0" xfId="0" applyNumberFormat="1" applyFont="1" applyFill="1" applyBorder="1"/>
  </x:cellXfs>
  <x:cellStyles count="1">
    <x:cellStyle name="Normal" xfId="0"/>
  </x:cellStyles>
  <x:dxfs count="2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3a22563964211" /><Relationship Type="http://schemas.openxmlformats.org/officeDocument/2006/relationships/theme" Target="/xl/theme/theme1.xml" Id="Rf81178360911492d" /><Relationship Type="http://schemas.openxmlformats.org/officeDocument/2006/relationships/sharedStrings" Target="/xl/sharedStrings.xml" Id="Red0c2da6a7d64032" /><Relationship Type="http://schemas.openxmlformats.org/officeDocument/2006/relationships/worksheet" Target="/xl/worksheets/sheet1.xml" Id="Rd51fae4abd2f48cf" /><Relationship Type="http://schemas.openxmlformats.org/officeDocument/2006/relationships/worksheet" Target="/xl/worksheets/sheet2.xml" Id="R88e23035eb604501" /><Relationship Type="http://schemas.openxmlformats.org/officeDocument/2006/relationships/worksheet" Target="/xl/worksheets/sheet3.xml" Id="R6a0834f3452c42e3" /><Relationship Type="http://schemas.openxmlformats.org/officeDocument/2006/relationships/worksheet" Target="/xl/worksheets/sheet4.xml" Id="R3ac4409e01ba4edf" /><Relationship Type="http://schemas.openxmlformats.org/officeDocument/2006/relationships/worksheet" Target="/xl/worksheets/sheet5.xml" Id="R40ecd2b07b6e44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d3c89a3537497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1368f0abe0e49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Forecasted units by week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Forecast Units</c:v>
          </c:tx>
          <c:marker>
            <c:symbol val="none"/>
          </c:marker>
          <c:cat>
            <c:strRef>
              <c:f>'Portfolio Forecast'!$A$5:$A$17</c:f>
              <c:strCache>
                <c:ptCount val="0"/>
              </c:strCache>
            </c:strRef>
          </c:cat>
          <c:val>
            <c:numRef>
              <c:f>'Portfolio Forecast'!$B$5:$B$17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15 items by forecast volume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Forecast Next 13 Weeks</c:v>
          </c:tx>
          <c:cat>
            <c:strRef>
              <c:f>'Top Items'!$A$5:$A$19</c:f>
              <c:strCache>
                <c:ptCount val="0"/>
              </c:strCache>
            </c:strRef>
          </c:cat>
          <c:val>
            <c:numRef>
              <c:f>'Top Items'!$B$5:$B$19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d3c89a3537497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368f0abe0e49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ek7SKUInventory" displayName="Week7SKUInventory" ref="A4:L504" headerRowCount="1" totalsRowCount="0" totalsRowShown="0">
  <x:tableColumns count="12">
    <x:tableColumn id="1" name="Store"/>
    <x:tableColumn id="2" name="Item"/>
    <x:tableColumn id="3" name="ABC Class"/>
    <x:tableColumn id="4" name="Reorder Point (default)"/>
    <x:tableColumn id="5" name="On-hand Units"/>
    <x:tableColumn id="6" name="On-order Units"/>
    <x:tableColumn id="7" name="Backorders Units"/>
    <x:tableColumn id="8" name="Inventory Position"/>
    <x:tableColumn id="9" name="Suggested Order Units"/>
    <x:tableColumn id="10" name="Status"/>
    <x:tableColumn id="11" name="Planning Priority"/>
    <x:tableColumn id="12" name="Order-up-to Le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56a39a8eea643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a4d0ae3c37d847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d27ca21fbc3c45dd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0" hidden="0" customWidth="1"/>
    <x:col min="3" max="3" width="55" hidden="0" customWidth="1"/>
    <x:col min="4" max="4" width="61" hidden="0" customWidth="1"/>
  </x:cols>
  <x:sheetData>
    <x:row r="1" ht="30" customHeight="1">
      <x:c r="A1" s="4" t="str">
        <x:v>StockSense | Week 7 — Dashboard &amp; Insights</x:v>
      </x:c>
      <x:c r="B1" s="4"/>
      <x:c r="C1" s="4"/>
      <x:c r="D1" s="4"/>
    </x:row>
    <x:row r="2" ht="34" customHeight="1">
      <x:c r="A2" s="11" t="str">
        <x:v>Excel overview accompanies the interactive Streamlit application. Actual replenishment status is unknown until inventory values are provided.</x:v>
      </x:c>
      <x:c r="B2" s="11"/>
      <x:c r="C2" s="11"/>
      <x:c r="D2" s="11"/>
    </x:row>
    <x:row r="4" ht="32" customHeight="1">
      <x:c r="A4" s="20" t="str">
        <x:v>KPI</x:v>
      </x:c>
      <x:c r="B4" s="20" t="str">
        <x:v>Value</x:v>
      </x:c>
    </x:row>
    <x:row r="5">
      <x:c r="A5" t="str">
        <x:v>Store-item series</x:v>
      </x:c>
      <x:c r="B5" t="n">
        <x:v>500</x:v>
      </x:c>
    </x:row>
    <x:row r="6">
      <x:c r="A6" t="str">
        <x:v>Stores</x:v>
      </x:c>
      <x:c r="B6" t="n">
        <x:v>10</x:v>
      </x:c>
    </x:row>
    <x:row r="7">
      <x:c r="A7" t="str">
        <x:v>Items</x:v>
      </x:c>
      <x:c r="B7" t="n">
        <x:v>50</x:v>
      </x:c>
    </x:row>
    <x:row r="8">
      <x:c r="A8" t="str">
        <x:v>Forecast units, next 13 weeks</x:v>
      </x:c>
      <x:c r="B8" t="n">
        <x:v>2109156</x:v>
      </x:c>
    </x:row>
    <x:row r="9">
      <x:c r="A9" t="str">
        <x:v>Forecast horizon</x:v>
      </x:c>
      <x:c r="B9" t="str">
        <x:v>2018-01-01 to 2018-03-26 (illustrative)</x:v>
      </x:c>
    </x:row>
    <x:row r="11" ht="32" customHeight="1">
      <x:c r="A11" s="20" t="str">
        <x:v>Business insight</x:v>
      </x:c>
      <x:c r="B11" s="20" t="str">
        <x:v>Finding</x:v>
      </x:c>
      <x:c r="C11" s="20" t="str">
        <x:v>What it means</x:v>
      </x:c>
      <x:c r="D11" s="20" t="str">
        <x:v>Caveat</x:v>
      </x:c>
    </x:row>
    <x:row r="12" ht="48" customHeight="1">
      <x:c r="A12" s="27" t="str">
        <x:v>Forecast baseline</x:v>
      </x:c>
      <x:c r="B12" s="27" t="str">
        <x:v>52-week seasonal naive</x:v>
      </x:c>
      <x:c r="C12" s="27" t="str">
        <x:v>A transparent seasonal benchmark was selected in Week 4.</x:v>
      </x:c>
      <x:c r="D12" s="27" t="str">
        <x:v>Forecast horizon extends the old 2013–2017 data; refresh before use.</x:v>
      </x:c>
    </x:row>
    <x:row r="13" ht="48" customHeight="1">
      <x:c r="A13" s="27" t="str">
        <x:v>Inventory thresholds</x:v>
      </x:c>
      <x:c r="B13" s="27" t="str">
        <x:v>Reorder point and order-up-to level</x:v>
      </x:c>
      <x:c r="C13" s="27" t="str">
        <x:v>Use them with current inventory position to support review.</x:v>
      </x:c>
      <x:c r="D13" s="27" t="str">
        <x:v>Lead time and 95% service target are assumed.</x:v>
      </x:c>
    </x:row>
    <x:row r="14" ht="48" customHeight="1">
      <x:c r="A14" s="27" t="str">
        <x:v>Live status</x:v>
      </x:c>
      <x:c r="B14" s="27" t="str">
        <x:v>Unknown without current inventory</x:v>
      </x:c>
      <x:c r="C14" s="27" t="str">
        <x:v>Enter values in SKU Inventory Inputs or upload a file to the app.</x:v>
      </x:c>
      <x:c r="D14" s="27" t="str">
        <x:v>Planning priority is not a live reorder alert.</x:v>
      </x:c>
    </x:row>
    <x:row r="15" ht="48" customHeight="1">
      <x:c r="A15" s="27" t="str">
        <x:v>ABC classification</x:v>
      </x:c>
      <x:c r="B15" s="27" t="str">
        <x:v>A / B / C by cumulative historical units</x:v>
      </x:c>
      <x:c r="C15" s="27" t="str">
        <x:v>Useful for prioritizing planning and reviewing high-volume products.</x:v>
      </x:c>
      <x:c r="D15" s="27" t="str">
        <x:v>Volume class alone does not imply profitability or criticality.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 ht="30" customHeight="1">
      <x:c r="A1" s="4" t="str">
        <x:v>Dashboard Assumptions</x:v>
      </x:c>
      <x:c r="B1" s="4"/>
    </x:row>
    <x:row r="2" ht="34" customHeight="1">
      <x:c r="A2" s="11" t="str">
        <x:v>Defaults can be adjusted in the Streamlit app; use operational data for real decisions.</x:v>
      </x:c>
      <x:c r="B2" s="11"/>
    </x:row>
    <x:row r="4" ht="32" customHeight="1">
      <x:c r="A4" s="20" t="str">
        <x:v>Parameter</x:v>
      </x:c>
      <x:c r="B4" s="20" t="str">
        <x:v>Default</x:v>
      </x:c>
    </x:row>
    <x:row r="5">
      <x:c r="A5" t="str">
        <x:v>Lead time (weeks)</x:v>
      </x:c>
      <x:c r="B5" s="30" t="n">
        <x:v>2</x:v>
      </x:c>
    </x:row>
    <x:row r="6">
      <x:c r="A6" t="str">
        <x:v>Review period (weeks)</x:v>
      </x:c>
      <x:c r="B6" s="30" t="n">
        <x:v>1</x:v>
      </x:c>
    </x:row>
    <x:row r="7">
      <x:c r="A7" t="str">
        <x:v>Service level</x:v>
      </x:c>
      <x:c r="B7" s="32" t="n">
        <x:v>0.95</x:v>
      </x:c>
    </x:row>
    <x:row r="8">
      <x:c r="A8" t="str">
        <x:v>Z value</x:v>
      </x:c>
      <x:c r="B8" s="34" t="n">
        <x:f>IF(B7=0.9,1.281551565545,IF(B7=0.95,1.644853626951,IF(B7=0.975,1.95996398454,IF(B7=0.99,2.326347874041,1.644853626951))))</x:f>
        <x:v>1.644853626951</x:v>
      </x:c>
    </x:row>
    <x:row r="10" ht="40" customHeight="1">
      <x:c r="A10" s="37" t="str">
        <x:v>Important</x:v>
      </x:c>
      <x:c r="B10" s="27" t="str">
        <x:v>No on-hand inventory, on-order units or backorders were included in the source sales dataset.</x:v>
      </x:c>
    </x:row>
    <x:row r="11" ht="40" customHeight="1">
      <x:c r="A11" s="37" t="str">
        <x:v>Required upload</x:v>
      </x:c>
      <x:c r="B11" s="27" t="str">
        <x:v>store, item, on_hand_units; optionally on_order_units and backorders_units.</x:v>
      </x:c>
    </x:row>
    <x:row r="12" ht="40" customHeight="1">
      <x:c r="A12" s="37" t="str">
        <x:v>Inventory position</x:v>
      </x:c>
      <x:c r="B12" s="27" t="str">
        <x:v>On hand + on order − backorders. Status is only calculated when on-hand data is provided.</x:v>
      </x:c>
    </x:row>
  </x:sheetData>
  <x:mergeCells>
    <x:mergeCell ref="A1:B1"/>
    <x:mergeCell ref="A2:B2"/>
  </x:mergeCells>
  <x:dataValidations count="1">
    <x:dataValidation type="list" sqref="B7">
      <x:formula1>"0.9,0.95,0.975,0.99"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</x:cols>
  <x:sheetData>
    <x:row r="1" ht="30" customHeight="1">
      <x:c r="A1" s="4" t="str">
        <x:v>Portfolio Demand Forecast</x:v>
      </x:c>
      <x:c r="B1" s="4"/>
    </x:row>
    <x:row r="2" ht="34" customHeight="1">
      <x:c r="A2" s="11" t="str">
        <x:v>Summed weekly demand forecast across 500 store-item series.</x:v>
      </x:c>
      <x:c r="B2" s="11"/>
    </x:row>
    <x:row r="4" ht="32" customHeight="1">
      <x:c r="A4" s="20" t="str">
        <x:v>Week Start</x:v>
      </x:c>
      <x:c r="B4" s="20" t="str">
        <x:v>Forecast Units</x:v>
      </x:c>
    </x:row>
    <x:row r="5">
      <x:c r="A5" t="str">
        <x:v>2018-01-01</x:v>
      </x:c>
      <x:c r="B5" s="40" t="n">
        <x:v>140112</x:v>
      </x:c>
    </x:row>
    <x:row r="6">
      <x:c r="A6" t="str">
        <x:v>2018-01-08</x:v>
      </x:c>
      <x:c r="B6" s="40" t="n">
        <x:v>139901</x:v>
      </x:c>
    </x:row>
    <x:row r="7">
      <x:c r="A7" t="str">
        <x:v>2018-01-15</x:v>
      </x:c>
      <x:c r="B7" s="40" t="n">
        <x:v>139914</x:v>
      </x:c>
    </x:row>
    <x:row r="8">
      <x:c r="A8" t="str">
        <x:v>2018-01-22</x:v>
      </x:c>
      <x:c r="B8" s="40" t="n">
        <x:v>139345</x:v>
      </x:c>
    </x:row>
    <x:row r="9">
      <x:c r="A9" t="str">
        <x:v>2018-01-29</x:v>
      </x:c>
      <x:c r="B9" s="40" t="n">
        <x:v>151415</x:v>
      </x:c>
    </x:row>
    <x:row r="10">
      <x:c r="A10" t="str">
        <x:v>2018-02-05</x:v>
      </x:c>
      <x:c r="B10" s="40" t="n">
        <x:v>155466</x:v>
      </x:c>
    </x:row>
    <x:row r="11">
      <x:c r="A11" t="str">
        <x:v>2018-02-12</x:v>
      </x:c>
      <x:c r="B11" s="40" t="n">
        <x:v>155245</x:v>
      </x:c>
    </x:row>
    <x:row r="12">
      <x:c r="A12" t="str">
        <x:v>2018-02-19</x:v>
      </x:c>
      <x:c r="B12" s="40" t="n">
        <x:v>155631</x:v>
      </x:c>
    </x:row>
    <x:row r="13">
      <x:c r="A13" t="str">
        <x:v>2018-02-26</x:v>
      </x:c>
      <x:c r="B13" s="40" t="n">
        <x:v>178087</x:v>
      </x:c>
    </x:row>
    <x:row r="14">
      <x:c r="A14" t="str">
        <x:v>2018-03-05</x:v>
      </x:c>
      <x:c r="B14" s="40" t="n">
        <x:v>186048</x:v>
      </x:c>
    </x:row>
    <x:row r="15">
      <x:c r="A15" t="str">
        <x:v>2018-03-12</x:v>
      </x:c>
      <x:c r="B15" s="40" t="n">
        <x:v>185941</x:v>
      </x:c>
    </x:row>
    <x:row r="16">
      <x:c r="A16" t="str">
        <x:v>2018-03-19</x:v>
      </x:c>
      <x:c r="B16" s="40" t="n">
        <x:v>186122</x:v>
      </x:c>
    </x:row>
    <x:row r="17">
      <x:c r="A17" t="str">
        <x:v>2018-03-26</x:v>
      </x:c>
      <x:c r="B17" s="40" t="n">
        <x:v>195929</x:v>
      </x:c>
    </x:row>
  </x:sheetData>
  <x:mergeCells>
    <x:mergeCell ref="A1:B1"/>
    <x:mergeCell ref="A2:B2"/>
  </x:mergeCells>
  <x:pageMargins left="0.7" right="0.7" top="0.75" bottom="0.75" header="0.3" footer="0.3"/>
  <x:drawing xmlns:r="http://schemas.openxmlformats.org/officeDocument/2006/relationships" r:id="Rd56a39a8eea64358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3" hidden="0" customWidth="1"/>
    <x:col min="4" max="4" width="22" hidden="0" customWidth="1"/>
    <x:col min="5" max="5" width="15" hidden="0" customWidth="1"/>
    <x:col min="6" max="6" width="11" hidden="0" customWidth="1"/>
    <x:col min="7" max="7" width="23" hidden="0" customWidth="1"/>
  </x:cols>
  <x:sheetData>
    <x:row r="1" ht="30" customHeight="1">
      <x:c r="A1" s="4" t="str">
        <x:v>Top Items by Forecast Volume</x:v>
      </x:c>
      <x:c r="B1" s="4"/>
      <x:c r="C1" s="4"/>
      <x:c r="D1" s="4"/>
      <x:c r="E1" s="4"/>
      <x:c r="F1" s="4"/>
      <x:c r="G1" s="4"/>
    </x:row>
    <x:row r="2" ht="34" customHeight="1">
      <x:c r="A2" s="11" t="str">
        <x:v>13-week forecast sums across stores, sorted from highest forecast total.</x:v>
      </x:c>
      <x:c r="B2" s="11"/>
      <x:c r="C2" s="11"/>
      <x:c r="D2" s="11"/>
      <x:c r="E2" s="11"/>
      <x:c r="F2" s="11"/>
      <x:c r="G2" s="11"/>
    </x:row>
    <x:row r="4" ht="32" customHeight="1">
      <x:c r="A4" s="20" t="str">
        <x:v>Item</x:v>
      </x:c>
      <x:c r="B4" s="20" t="str">
        <x:v>Forecast Next 13 Weeks</x:v>
      </x:c>
      <x:c r="C4" s="20" t="str">
        <x:v>ABC Class</x:v>
      </x:c>
      <x:c r="D4" s="20" t="str">
        <x:v>Avg Weekly Demand</x:v>
      </x:c>
      <x:c r="E4" s="20" t="str">
        <x:v>Weekly SD</x:v>
      </x:c>
      <x:c r="F4" s="20" t="str">
        <x:v>CV</x:v>
      </x:c>
      <x:c r="G4" s="20" t="str">
        <x:v>Historical Total Units</x:v>
      </x:c>
    </x:row>
    <x:row r="5">
      <x:c r="A5" t="n">
        <x:v>15</x:v>
      </x:c>
      <x:c r="B5" s="40" t="n">
        <x:v>71077</x:v>
      </x:c>
      <x:c r="C5" t="str">
        <x:v>A</x:v>
      </x:c>
      <x:c r="D5" s="42" t="n">
        <x:v>6170.6</x:v>
      </x:c>
      <x:c r="E5" s="42" t="n">
        <x:v>1279.28635450941</x:v>
      </x:c>
      <x:c r="F5" s="42" t="n">
        <x:v>0.20731960498321234</x:v>
      </x:c>
      <x:c r="G5" s="42" t="n">
        <x:v>1604356</x:v>
      </x:c>
    </x:row>
    <x:row r="6">
      <x:c r="A6" t="n">
        <x:v>28</x:v>
      </x:c>
      <x:c r="B6" s="40" t="n">
        <x:v>70769</x:v>
      </x:c>
      <x:c r="C6" t="str">
        <x:v>A</x:v>
      </x:c>
      <x:c r="D6" s="42" t="n">
        <x:v>6159.957692307692</x:v>
      </x:c>
      <x:c r="E6" s="42" t="n">
        <x:v>1274.083224848446</x:v>
      </x:c>
      <x:c r="F6" s="42" t="n">
        <x:v>0.20683311290262107</x:v>
      </x:c>
      <x:c r="G6" s="42" t="n">
        <x:v>1601589</x:v>
      </x:c>
    </x:row>
    <x:row r="7">
      <x:c r="A7" t="n">
        <x:v>13</x:v>
      </x:c>
      <x:c r="B7" s="40" t="n">
        <x:v>68177</x:v>
      </x:c>
      <x:c r="C7" t="str">
        <x:v>A</x:v>
      </x:c>
      <x:c r="D7" s="42" t="n">
        <x:v>5910.765384615384</x:v>
      </x:c>
      <x:c r="E7" s="42" t="n">
        <x:v>1226.4979631550164</x:v>
      </x:c>
      <x:c r="F7" s="42" t="n">
        <x:v>0.20750239323444658</x:v>
      </x:c>
      <x:c r="G7" s="42" t="n">
        <x:v>1536799</x:v>
      </x:c>
    </x:row>
    <x:row r="8">
      <x:c r="A8" t="n">
        <x:v>18</x:v>
      </x:c>
      <x:c r="B8" s="40" t="n">
        <x:v>67982</x:v>
      </x:c>
      <x:c r="C8" t="str">
        <x:v>A</x:v>
      </x:c>
      <x:c r="D8" s="42" t="n">
        <x:v>5907.526923076923</x:v>
      </x:c>
      <x:c r="E8" s="42" t="n">
        <x:v>1231.3353313025846</x:v>
      </x:c>
      <x:c r="F8" s="42" t="n">
        <x:v>0.2084349927365623</x:v>
      </x:c>
      <x:c r="G8" s="42" t="n">
        <x:v>1535957</x:v>
      </x:c>
    </x:row>
    <x:row r="9">
      <x:c r="A9" t="n">
        <x:v>45</x:v>
      </x:c>
      <x:c r="B9" s="40" t="n">
        <x:v>65131</x:v>
      </x:c>
      <x:c r="C9" t="str">
        <x:v>A</x:v>
      </x:c>
      <x:c r="D9" s="42" t="n">
        <x:v>5648.761538461538</x:v>
      </x:c>
      <x:c r="E9" s="42" t="n">
        <x:v>1182.5653633814222</x:v>
      </x:c>
      <x:c r="F9" s="42" t="n">
        <x:v>0.20934949286308488</x:v>
      </x:c>
      <x:c r="G9" s="42" t="n">
        <x:v>1468678</x:v>
      </x:c>
    </x:row>
    <x:row r="10">
      <x:c r="A10" t="n">
        <x:v>22</x:v>
      </x:c>
      <x:c r="B10" s="40" t="n">
        <x:v>64853</x:v>
      </x:c>
      <x:c r="C10" t="str">
        <x:v>A</x:v>
      </x:c>
      <x:c r="D10" s="42" t="n">
        <x:v>5642.846153846154</x:v>
      </x:c>
      <x:c r="E10" s="42" t="n">
        <x:v>1164.9544771230046</x:v>
      </x:c>
      <x:c r="F10" s="42" t="n">
        <x:v>0.2064480308981973</x:v>
      </x:c>
      <x:c r="G10" s="42" t="n">
        <x:v>1467140</x:v>
      </x:c>
    </x:row>
    <x:row r="11">
      <x:c r="A11" t="n">
        <x:v>38</x:v>
      </x:c>
      <x:c r="B11" s="40" t="n">
        <x:v>64719</x:v>
      </x:c>
      <x:c r="C11" t="str">
        <x:v>A</x:v>
      </x:c>
      <x:c r="D11" s="42" t="n">
        <x:v>5644.411538461539</x:v>
      </x:c>
      <x:c r="E11" s="42" t="n">
        <x:v>1173.8986113260794</x:v>
      </x:c>
      <x:c r="F11" s="42" t="n">
        <x:v>0.20797537587878318</x:v>
      </x:c>
      <x:c r="G11" s="42" t="n">
        <x:v>1467547</x:v>
      </x:c>
    </x:row>
    <x:row r="12">
      <x:c r="A12" t="n">
        <x:v>25</x:v>
      </x:c>
      <x:c r="B12" s="40" t="n">
        <x:v>64552</x:v>
      </x:c>
      <x:c r="C12" t="str">
        <x:v>A</x:v>
      </x:c>
      <x:c r="D12" s="42" t="n">
        <x:v>5655.692307692308</x:v>
      </x:c>
      <x:c r="E12" s="42" t="n">
        <x:v>1178.436332889558</x:v>
      </x:c>
      <x:c r="F12" s="42" t="n">
        <x:v>0.2083628791627802</x:v>
      </x:c>
      <x:c r="G12" s="42" t="n">
        <x:v>1470480</x:v>
      </x:c>
    </x:row>
    <x:row r="13">
      <x:c r="A13" t="n">
        <x:v>8</x:v>
      </x:c>
      <x:c r="B13" s="40" t="n">
        <x:v>62009</x:v>
      </x:c>
      <x:c r="C13" t="str">
        <x:v>A</x:v>
      </x:c>
      <x:c r="D13" s="42" t="n">
        <x:v>5394.138461538461</x:v>
      </x:c>
      <x:c r="E13" s="42" t="n">
        <x:v>1124.3064597801679</x:v>
      </x:c>
      <x:c r="F13" s="42" t="n">
        <x:v>0.20843114573286364</x:v>
      </x:c>
      <x:c r="G13" s="42" t="n">
        <x:v>1402476</x:v>
      </x:c>
    </x:row>
    <x:row r="14">
      <x:c r="A14" t="n">
        <x:v>36</x:v>
      </x:c>
      <x:c r="B14" s="40" t="n">
        <x:v>61982</x:v>
      </x:c>
      <x:c r="C14" t="str">
        <x:v>A</x:v>
      </x:c>
      <x:c r="D14" s="42" t="n">
        <x:v>5399.45</x:v>
      </x:c>
      <x:c r="E14" s="42" t="n">
        <x:v>1124.4445052410538</x:v>
      </x:c>
      <x:c r="F14" s="42" t="n">
        <x:v>0.20825167475225326</x:v>
      </x:c>
      <x:c r="G14" s="42" t="n">
        <x:v>1403857</x:v>
      </x:c>
    </x:row>
    <x:row r="15">
      <x:c r="A15" t="n">
        <x:v>10</x:v>
      </x:c>
      <x:c r="B15" s="40" t="n">
        <x:v>59467</x:v>
      </x:c>
      <x:c r="C15" t="str">
        <x:v>A</x:v>
      </x:c>
      <x:c r="D15" s="42" t="n">
        <x:v>5132.803846153846</x:v>
      </x:c>
      <x:c r="E15" s="42" t="n">
        <x:v>1066.4849979959406</x:v>
      </x:c>
      <x:c r="F15" s="42" t="n">
        <x:v>0.20777824946400156</x:v>
      </x:c>
      <x:c r="G15" s="42" t="n">
        <x:v>1334529</x:v>
      </x:c>
    </x:row>
    <x:row r="16">
      <x:c r="A16" t="n">
        <x:v>29</x:v>
      </x:c>
      <x:c r="B16" s="40" t="n">
        <x:v>56480</x:v>
      </x:c>
      <x:c r="C16" t="str">
        <x:v>A</x:v>
      </x:c>
      <x:c r="D16" s="42" t="n">
        <x:v>4879.915384615385</x:v>
      </x:c>
      <x:c r="E16" s="42" t="n">
        <x:v>1018.2983006496818</x:v>
      </x:c>
      <x:c r="F16" s="42" t="n">
        <x:v>0.208671302756603</x:v>
      </x:c>
      <x:c r="G16" s="42" t="n">
        <x:v>1268778</x:v>
      </x:c>
    </x:row>
    <x:row r="17">
      <x:c r="A17" t="n">
        <x:v>33</x:v>
      </x:c>
      <x:c r="B17" s="40" t="n">
        <x:v>56472</x:v>
      </x:c>
      <x:c r="C17" t="str">
        <x:v>A</x:v>
      </x:c>
      <x:c r="D17" s="42" t="n">
        <x:v>4876.096153846154</x:v>
      </x:c>
      <x:c r="E17" s="42" t="n">
        <x:v>1016.7890951804178</x:v>
      </x:c>
      <x:c r="F17" s="42" t="n">
        <x:v>0.20852523475739862</x:v>
      </x:c>
      <x:c r="G17" s="42" t="n">
        <x:v>1267785</x:v>
      </x:c>
    </x:row>
    <x:row r="18">
      <x:c r="A18" t="n">
        <x:v>11</x:v>
      </x:c>
      <x:c r="B18" s="40" t="n">
        <x:v>55987</x:v>
      </x:c>
      <x:c r="C18" t="str">
        <x:v>A</x:v>
      </x:c>
      <x:c r="D18" s="42" t="n">
        <x:v>4882.296153846154</x:v>
      </x:c>
      <x:c r="E18" s="42" t="n">
        <x:v>1020.4409982322251</x:v>
      </x:c>
      <x:c r="F18" s="42" t="n">
        <x:v>0.20900841859589908</x:v>
      </x:c>
      <x:c r="G18" s="42" t="n">
        <x:v>1269397</x:v>
      </x:c>
    </x:row>
    <x:row r="19">
      <x:c r="A19" t="n">
        <x:v>12</x:v>
      </x:c>
      <x:c r="B19" s="40" t="n">
        <x:v>55870</x:v>
      </x:c>
      <x:c r="C19" t="str">
        <x:v>A</x:v>
      </x:c>
      <x:c r="D19" s="42" t="n">
        <x:v>4881.134615384615</x:v>
      </x:c>
      <x:c r="E19" s="42" t="n">
        <x:v>1018.9921667327897</x:v>
      </x:c>
      <x:c r="F19" s="42" t="n">
        <x:v>0.20876133256416998</x:v>
      </x:c>
      <x:c r="G19" s="42" t="n">
        <x:v>1269095</x:v>
      </x:c>
    </x:row>
    <x:row r="20">
      <x:c r="A20" t="n">
        <x:v>35</x:v>
      </x:c>
      <x:c r="B20" s="40" t="n">
        <x:v>53548</x:v>
      </x:c>
      <x:c r="C20" t="str">
        <x:v>A</x:v>
      </x:c>
      <x:c r="D20" s="42" t="n">
        <x:v>4612.465384615384</x:v>
      </x:c>
      <x:c r="E20" s="42" t="n">
        <x:v>958.3543622998919</x:v>
      </x:c>
      <x:c r="F20" s="42" t="n">
        <x:v>0.2077748627656759</x:v>
      </x:c>
      <x:c r="G20" s="42" t="n">
        <x:v>1199241</x:v>
      </x:c>
    </x:row>
    <x:row r="21">
      <x:c r="A21" t="n">
        <x:v>24</x:v>
      </x:c>
      <x:c r="B21" s="40" t="n">
        <x:v>53228</x:v>
      </x:c>
      <x:c r="C21" t="str">
        <x:v>A</x:v>
      </x:c>
      <x:c r="D21" s="42" t="n">
        <x:v>4630.15</x:v>
      </x:c>
      <x:c r="E21" s="42" t="n">
        <x:v>958.2311187949518</x:v>
      </x:c>
      <x:c r="F21" s="42" t="n">
        <x:v>0.20695465995593057</x:v>
      </x:c>
      <x:c r="G21" s="42" t="n">
        <x:v>1203839</x:v>
      </x:c>
    </x:row>
    <x:row r="22">
      <x:c r="A22" t="n">
        <x:v>50</x:v>
      </x:c>
      <x:c r="B22" s="40" t="n">
        <x:v>53154</x:v>
      </x:c>
      <x:c r="C22" t="str">
        <x:v>A</x:v>
      </x:c>
      <x:c r="D22" s="42" t="n">
        <x:v>4618.226923076923</x:v>
      </x:c>
      <x:c r="E22" s="42" t="n">
        <x:v>960.6406638210947</x:v>
      </x:c>
      <x:c r="F22" s="42" t="n">
        <x:v>0.20801071056531403</x:v>
      </x:c>
      <x:c r="G22" s="42" t="n">
        <x:v>1200739</x:v>
      </x:c>
    </x:row>
    <x:row r="23">
      <x:c r="A23" t="n">
        <x:v>31</x:v>
      </x:c>
      <x:c r="B23" s="40" t="n">
        <x:v>47462</x:v>
      </x:c>
      <x:c r="C23" t="str">
        <x:v>A</x:v>
      </x:c>
      <x:c r="D23" s="42" t="n">
        <x:v>4110.680769230769</x:v>
      </x:c>
      <x:c r="E23" s="42" t="n">
        <x:v>849.6838169683704</x:v>
      </x:c>
      <x:c r="F23" s="42" t="n">
        <x:v>0.2067014844179621</x:v>
      </x:c>
      <x:c r="G23" s="42" t="n">
        <x:v>1068777</x:v>
      </x:c>
    </x:row>
    <x:row r="24">
      <x:c r="A24" t="n">
        <x:v>14</x:v>
      </x:c>
      <x:c r="B24" s="40" t="n">
        <x:v>47272</x:v>
      </x:c>
      <x:c r="C24" t="str">
        <x:v>A</x:v>
      </x:c>
      <x:c r="D24" s="42" t="n">
        <x:v>4113.015384615384</x:v>
      </x:c>
      <x:c r="E24" s="42" t="n">
        <x:v>849.4511331216333</x:v>
      </x:c>
      <x:c r="F24" s="42" t="n">
        <x:v>0.20652758467643492</x:v>
      </x:c>
      <x:c r="G24" s="42" t="n">
        <x:v>1069384</x:v>
      </x:c>
    </x:row>
    <x:row r="25">
      <x:c r="A25" t="n">
        <x:v>6</x:v>
      </x:c>
      <x:c r="B25" s="40" t="n">
        <x:v>47220</x:v>
      </x:c>
      <x:c r="C25" t="str">
        <x:v>A</x:v>
      </x:c>
      <x:c r="D25" s="42" t="n">
        <x:v>4101.203846153846</x:v>
      </x:c>
      <x:c r="E25" s="42" t="n">
        <x:v>853.5278780421814</x:v>
      </x:c>
      <x:c r="F25" s="42" t="n">
        <x:v>0.20811642387457266</x:v>
      </x:c>
      <x:c r="G25" s="42" t="n">
        <x:v>1066313</x:v>
      </x:c>
    </x:row>
    <x:row r="26">
      <x:c r="A26" t="n">
        <x:v>46</x:v>
      </x:c>
      <x:c r="B26" s="40" t="n">
        <x:v>47014</x:v>
      </x:c>
      <x:c r="C26" t="str">
        <x:v>A</x:v>
      </x:c>
      <x:c r="D26" s="42" t="n">
        <x:v>4110.419230769231</x:v>
      </x:c>
      <x:c r="E26" s="42" t="n">
        <x:v>855.5832288005712</x:v>
      </x:c>
      <x:c r="F26" s="42" t="n">
        <x:v>0.2081498700657976</x:v>
      </x:c>
      <x:c r="G26" s="42" t="n">
        <x:v>1068709</x:v>
      </x:c>
    </x:row>
    <x:row r="27">
      <x:c r="A27" t="n">
        <x:v>7</x:v>
      </x:c>
      <x:c r="B27" s="40" t="n">
        <x:v>46998</x:v>
      </x:c>
      <x:c r="C27" t="str">
        <x:v>A</x:v>
      </x:c>
      <x:c r="D27" s="42" t="n">
        <x:v>4103.192307692308</x:v>
      </x:c>
      <x:c r="E27" s="42" t="n">
        <x:v>852.6588946783999</x:v>
      </x:c>
      <x:c r="F27" s="42" t="n">
        <x:v>0.2078037856231864</x:v>
      </x:c>
      <x:c r="G27" s="42" t="n">
        <x:v>1066830</x:v>
      </x:c>
    </x:row>
    <x:row r="28">
      <x:c r="A28" t="n">
        <x:v>2</x:v>
      </x:c>
      <x:c r="B28" s="40" t="n">
        <x:v>46933</x:v>
      </x:c>
      <x:c r="C28" t="str">
        <x:v>A</x:v>
      </x:c>
      <x:c r="D28" s="42" t="n">
        <x:v>4105.757692307692</x:v>
      </x:c>
      <x:c r="E28" s="42" t="n">
        <x:v>842.830595139238</x:v>
      </x:c>
      <x:c r="F28" s="42" t="n">
        <x:v>0.2052801597908021</x:v>
      </x:c>
      <x:c r="G28" s="42" t="n">
        <x:v>1067497</x:v>
      </x:c>
    </x:row>
    <x:row r="29">
      <x:c r="A29" t="n">
        <x:v>9</x:v>
      </x:c>
      <x:c r="B29" s="40" t="n">
        <x:v>42119</x:v>
      </x:c>
      <x:c r="C29" t="str">
        <x:v>A</x:v>
      </x:c>
      <x:c r="D29" s="42" t="n">
        <x:v>3602.6384615384613</x:v>
      </x:c>
      <x:c r="E29" s="42" t="n">
        <x:v>746.2527598117017</x:v>
      </x:c>
      <x:c r="F29" s="42" t="n">
        <x:v>0.20714061868229316</x:v>
      </x:c>
      <x:c r="G29" s="42" t="n">
        <x:v>936686</x:v>
      </x:c>
    </x:row>
    <x:row r="30">
      <x:c r="A30" t="n">
        <x:v>48</x:v>
      </x:c>
      <x:c r="B30" s="40" t="n">
        <x:v>41654</x:v>
      </x:c>
      <x:c r="C30" t="str">
        <x:v>A</x:v>
      </x:c>
      <x:c r="D30" s="42" t="n">
        <x:v>3599.503846153846</x:v>
      </x:c>
      <x:c r="E30" s="42" t="n">
        <x:v>748.7843867898204</x:v>
      </x:c>
      <x:c r="F30" s="42" t="n">
        <x:v>0.20802433301742793</x:v>
      </x:c>
      <x:c r="G30" s="42" t="n">
        <x:v>935871</x:v>
      </x:c>
    </x:row>
    <x:row r="31">
      <x:c r="A31" t="n">
        <x:v>43</x:v>
      </x:c>
      <x:c r="B31" s="40" t="n">
        <x:v>41643</x:v>
      </x:c>
      <x:c r="C31" t="str">
        <x:v>A</x:v>
      </x:c>
      <x:c r="D31" s="42" t="n">
        <x:v>3595.5423076923075</x:v>
      </x:c>
      <x:c r="E31" s="42" t="n">
        <x:v>744.6546983835991</x:v>
      </x:c>
      <x:c r="F31" s="42" t="n">
        <x:v>0.20710497462107008</x:v>
      </x:c>
      <x:c r="G31" s="42" t="n">
        <x:v>934841</x:v>
      </x:c>
    </x:row>
    <x:row r="32">
      <x:c r="A32" t="n">
        <x:v>26</x:v>
      </x:c>
      <x:c r="B32" s="40" t="n">
        <x:v>38718</x:v>
      </x:c>
      <x:c r="C32" t="str">
        <x:v>A</x:v>
      </x:c>
      <x:c r="D32" s="42" t="n">
        <x:v>3339.630769230769</x:v>
      </x:c>
      <x:c r="E32" s="42" t="n">
        <x:v>697.7154461793457</x:v>
      </x:c>
      <x:c r="F32" s="42" t="n">
        <x:v>0.20891993588262853</x:v>
      </x:c>
      <x:c r="G32" s="42" t="n">
        <x:v>868304</x:v>
      </x:c>
    </x:row>
    <x:row r="33">
      <x:c r="A33" t="n">
        <x:v>20</x:v>
      </x:c>
      <x:c r="B33" s="40" t="n">
        <x:v>38552</x:v>
      </x:c>
      <x:c r="C33" t="str">
        <x:v>A</x:v>
      </x:c>
      <x:c r="D33" s="42" t="n">
        <x:v>3330.8076923076924</x:v>
      </x:c>
      <x:c r="E33" s="42" t="n">
        <x:v>688.4666595074461</x:v>
      </x:c>
      <x:c r="F33" s="42" t="n">
        <x:v>0.206696610283872</x:v>
      </x:c>
      <x:c r="G33" s="42" t="n">
        <x:v>866010</x:v>
      </x:c>
    </x:row>
    <x:row r="34">
      <x:c r="A34" t="n">
        <x:v>39</x:v>
      </x:c>
      <x:c r="B34" s="40" t="n">
        <x:v>35605</x:v>
      </x:c>
      <x:c r="C34" t="str">
        <x:v>A</x:v>
      </x:c>
      <x:c r="D34" s="42" t="n">
        <x:v>3075.8384615384616</x:v>
      </x:c>
      <x:c r="E34" s="42" t="n">
        <x:v>641.8517468421072</x:v>
      </x:c>
      <x:c r="F34" s="42" t="n">
        <x:v>0.2086753757936521</x:v>
      </x:c>
      <x:c r="G34" s="42" t="n">
        <x:v>799718</x:v>
      </x:c>
    </x:row>
    <x:row r="35">
      <x:c r="A35" t="n">
        <x:v>32</x:v>
      </x:c>
      <x:c r="B35" s="40" t="n">
        <x:v>35230</x:v>
      </x:c>
      <x:c r="C35" t="str">
        <x:v>A</x:v>
      </x:c>
      <x:c r="D35" s="42" t="n">
        <x:v>3083.119230769231</x:v>
      </x:c>
      <x:c r="E35" s="42" t="n">
        <x:v>642.9857756878125</x:v>
      </x:c>
      <x:c r="F35" s="42" t="n">
        <x:v>0.20855040871299327</x:v>
      </x:c>
      <x:c r="G35" s="42" t="n">
        <x:v>801611</x:v>
      </x:c>
    </x:row>
    <x:row r="36">
      <x:c r="A36" t="n">
        <x:v>19</x:v>
      </x:c>
      <x:c r="B36" s="40" t="n">
        <x:v>32665</x:v>
      </x:c>
      <x:c r="C36" t="str">
        <x:v>B</x:v>
      </x:c>
      <x:c r="D36" s="42" t="n">
        <x:v>2828.7961538461536</x:v>
      </x:c>
      <x:c r="E36" s="42" t="n">
        <x:v>589.6840401152273</x:v>
      </x:c>
      <x:c r="F36" s="42" t="n">
        <x:v>0.20845759398868927</x:v>
      </x:c>
      <x:c r="G36" s="42" t="n">
        <x:v>735487</x:v>
      </x:c>
    </x:row>
    <x:row r="37">
      <x:c r="A37" t="n">
        <x:v>21</x:v>
      </x:c>
      <x:c r="B37" s="40" t="n">
        <x:v>32633</x:v>
      </x:c>
      <x:c r="C37" t="str">
        <x:v>B</x:v>
      </x:c>
      <x:c r="D37" s="42" t="n">
        <x:v>2825.8384615384616</x:v>
      </x:c>
      <x:c r="E37" s="42" t="n">
        <x:v>589.6450316757222</x:v>
      </x:c>
      <x:c r="F37" s="42" t="n">
        <x:v>0.2086619740304277</x:v>
      </x:c>
      <x:c r="G37" s="42" t="n">
        <x:v>734718</x:v>
      </x:c>
    </x:row>
    <x:row r="38">
      <x:c r="A38" t="n">
        <x:v>30</x:v>
      </x:c>
      <x:c r="B38" s="40" t="n">
        <x:v>32493</x:v>
      </x:c>
      <x:c r="C38" t="str">
        <x:v>B</x:v>
      </x:c>
      <x:c r="D38" s="42" t="n">
        <x:v>2827.3346153846155</x:v>
      </x:c>
      <x:c r="E38" s="42" t="n">
        <x:v>588.9703137318385</x:v>
      </x:c>
      <x:c r="F38" s="42" t="n">
        <x:v>0.2083129144060361</x:v>
      </x:c>
      <x:c r="G38" s="42" t="n">
        <x:v>735107</x:v>
      </x:c>
    </x:row>
    <x:row r="39">
      <x:c r="A39" t="n">
        <x:v>42</x:v>
      </x:c>
      <x:c r="B39" s="40" t="n">
        <x:v>29621</x:v>
      </x:c>
      <x:c r="C39" t="str">
        <x:v>B</x:v>
      </x:c>
      <x:c r="D39" s="42" t="n">
        <x:v>2571.5576923076924</x:v>
      </x:c>
      <x:c r="E39" s="42" t="n">
        <x:v>533.278184572904</x:v>
      </x:c>
      <x:c r="F39" s="42" t="n">
        <x:v>0.20737554757884707</x:v>
      </x:c>
      <x:c r="G39" s="42" t="n">
        <x:v>668605</x:v>
      </x:c>
    </x:row>
    <x:row r="40">
      <x:c r="A40" t="n">
        <x:v>3</x:v>
      </x:c>
      <x:c r="B40" s="40" t="n">
        <x:v>29549</x:v>
      </x:c>
      <x:c r="C40" t="str">
        <x:v>B</x:v>
      </x:c>
      <x:c r="D40" s="42" t="n">
        <x:v>2568.5692307692307</x:v>
      </x:c>
      <x:c r="E40" s="42" t="n">
        <x:v>535.1926645973286</x:v>
      </x:c>
      <x:c r="F40" s="42" t="n">
        <x:v>0.20836217228883103</x:v>
      </x:c>
      <x:c r="G40" s="42" t="n">
        <x:v>667828</x:v>
      </x:c>
    </x:row>
    <x:row r="41">
      <x:c r="A41" t="n">
        <x:v>17</x:v>
      </x:c>
      <x:c r="B41" s="40" t="n">
        <x:v>26658</x:v>
      </x:c>
      <x:c r="C41" t="str">
        <x:v>B</x:v>
      </x:c>
      <x:c r="D41" s="42" t="n">
        <x:v>2312.903846153846</x:v>
      </x:c>
      <x:c r="E41" s="42" t="n">
        <x:v>479.8196113589041</x:v>
      </x:c>
      <x:c r="F41" s="42" t="n">
        <x:v>0.20745333281225745</x:v>
      </x:c>
      <x:c r="G41" s="42" t="n">
        <x:v>601355</x:v>
      </x:c>
    </x:row>
    <x:row r="42">
      <x:c r="A42" t="n">
        <x:v>49</x:v>
      </x:c>
      <x:c r="B42" s="40" t="n">
        <x:v>23896</x:v>
      </x:c>
      <x:c r="C42" t="str">
        <x:v>B</x:v>
      </x:c>
      <x:c r="D42" s="42" t="n">
        <x:v>2056.119230769231</x:v>
      </x:c>
      <x:c r="E42" s="42" t="n">
        <x:v>436.6042503726016</x:v>
      </x:c>
      <x:c r="F42" s="42" t="n">
        <x:v>0.21234383874191</x:v>
      </x:c>
      <x:c r="G42" s="42" t="n">
        <x:v>534591</x:v>
      </x:c>
    </x:row>
    <x:row r="43">
      <x:c r="A43" t="n">
        <x:v>23</x:v>
      </x:c>
      <x:c r="B43" s="40" t="n">
        <x:v>23795</x:v>
      </x:c>
      <x:c r="C43" t="str">
        <x:v>B</x:v>
      </x:c>
      <x:c r="D43" s="42" t="n">
        <x:v>2053.8230769230768</x:v>
      </x:c>
      <x:c r="E43" s="42" t="n">
        <x:v>429.8540915309984</x:v>
      </x:c>
      <x:c r="F43" s="42" t="n">
        <x:v>0.2092946059282681</x:v>
      </x:c>
      <x:c r="G43" s="42" t="n">
        <x:v>533994</x:v>
      </x:c>
    </x:row>
    <x:row r="44">
      <x:c r="A44" t="n">
        <x:v>37</x:v>
      </x:c>
      <x:c r="B44" s="40" t="n">
        <x:v>23687</x:v>
      </x:c>
      <x:c r="C44" t="str">
        <x:v>B</x:v>
      </x:c>
      <x:c r="D44" s="42" t="n">
        <x:v>2050.9461538461537</x:v>
      </x:c>
      <x:c r="E44" s="42" t="n">
        <x:v>428.369239772892</x:v>
      </x:c>
      <x:c r="F44" s="42" t="n">
        <x:v>0.20886420590300148</x:v>
      </x:c>
      <x:c r="G44" s="42" t="n">
        <x:v>533246</x:v>
      </x:c>
    </x:row>
    <x:row r="45">
      <x:c r="A45" t="n">
        <x:v>40</x:v>
      </x:c>
      <x:c r="B45" s="40" t="n">
        <x:v>23527</x:v>
      </x:c>
      <x:c r="C45" t="str">
        <x:v>B</x:v>
      </x:c>
      <x:c r="D45" s="42" t="n">
        <x:v>2050.2115384615386</x:v>
      </x:c>
      <x:c r="E45" s="42" t="n">
        <x:v>432.0690696490909</x:v>
      </x:c>
      <x:c r="F45" s="42" t="n">
        <x:v>0.2107436532979967</x:v>
      </x:c>
      <x:c r="G45" s="42" t="n">
        <x:v>533055</x:v>
      </x:c>
    </x:row>
    <x:row r="46">
      <x:c r="A46" t="n">
        <x:v>44</x:v>
      </x:c>
      <x:c r="B46" s="40" t="n">
        <x:v>23519</x:v>
      </x:c>
      <x:c r="C46" t="str">
        <x:v>B</x:v>
      </x:c>
      <x:c r="D46" s="42" t="n">
        <x:v>2060.480769230769</x:v>
      </x:c>
      <x:c r="E46" s="42" t="n">
        <x:v>428.39482611473875</x:v>
      </x:c>
      <x:c r="F46" s="42" t="n">
        <x:v>0.2079101307384051</x:v>
      </x:c>
      <x:c r="G46" s="42" t="n">
        <x:v>535725</x:v>
      </x:c>
    </x:row>
    <x:row r="47">
      <x:c r="A47" t="n">
        <x:v>16</x:v>
      </x:c>
      <x:c r="B47" s="40" t="n">
        <x:v>21083</x:v>
      </x:c>
      <x:c r="C47" t="str">
        <x:v>C</x:v>
      </x:c>
      <x:c r="D47" s="42" t="n">
        <x:v>1798.5115384615385</x:v>
      </x:c>
      <x:c r="E47" s="42" t="n">
        <x:v>375.4005786635715</x:v>
      </x:c>
      <x:c r="F47" s="42" t="n">
        <x:v>0.20872847943177067</x:v>
      </x:c>
      <x:c r="G47" s="42" t="n">
        <x:v>467613</x:v>
      </x:c>
    </x:row>
    <x:row r="48">
      <x:c r="A48" t="n">
        <x:v>34</x:v>
      </x:c>
      <x:c r="B48" s="40" t="n">
        <x:v>20937</x:v>
      </x:c>
      <x:c r="C48" t="str">
        <x:v>B</x:v>
      </x:c>
      <x:c r="D48" s="42" t="n">
        <x:v>1803.996153846154</x:v>
      </x:c>
      <x:c r="E48" s="42" t="n">
        <x:v>374.8385649744432</x:v>
      </x:c>
      <x:c r="F48" s="42" t="n">
        <x:v>0.2077823526260188</x:v>
      </x:c>
      <x:c r="G48" s="42" t="n">
        <x:v>469039</x:v>
      </x:c>
    </x:row>
    <x:row r="49">
      <x:c r="A49" t="n">
        <x:v>47</x:v>
      </x:c>
      <x:c r="B49" s="40" t="n">
        <x:v>17818</x:v>
      </x:c>
      <x:c r="C49" t="str">
        <x:v>C</x:v>
      </x:c>
      <x:c r="D49" s="42" t="n">
        <x:v>1542.3807692307691</x:v>
      </x:c>
      <x:c r="E49" s="42" t="n">
        <x:v>322.85662275466626</x:v>
      </x:c>
      <x:c r="F49" s="42" t="n">
        <x:v>0.2093235530391658</x:v>
      </x:c>
      <x:c r="G49" s="42" t="n">
        <x:v>401019</x:v>
      </x:c>
    </x:row>
    <x:row r="50">
      <x:c r="A50" t="n">
        <x:v>41</x:v>
      </x:c>
      <x:c r="B50" s="40" t="n">
        <x:v>17687</x:v>
      </x:c>
      <x:c r="C50" t="str">
        <x:v>C</x:v>
      </x:c>
      <x:c r="D50" s="42" t="n">
        <x:v>1542.2769230769231</x:v>
      </x:c>
      <x:c r="E50" s="42" t="n">
        <x:v>322.06800441117923</x:v>
      </x:c>
      <x:c r="F50" s="42" t="n">
        <x:v>0.2088263136095149</x:v>
      </x:c>
      <x:c r="G50" s="42" t="n">
        <x:v>400992</x:v>
      </x:c>
    </x:row>
    <x:row r="51">
      <x:c r="A51" t="n">
        <x:v>1</x:v>
      </x:c>
      <x:c r="B51" s="40" t="n">
        <x:v>17658</x:v>
      </x:c>
      <x:c r="C51" t="str">
        <x:v>C</x:v>
      </x:c>
      <x:c r="D51" s="42" t="n">
        <x:v>1540.7</x:v>
      </x:c>
      <x:c r="E51" s="42" t="n">
        <x:v>327.29866987969734</x:v>
      </x:c>
      <x:c r="F51" s="42" t="n">
        <x:v>0.21243504243506026</x:v>
      </x:c>
      <x:c r="G51" s="42" t="n">
        <x:v>400582</x:v>
      </x:c>
    </x:row>
    <x:row r="52">
      <x:c r="A52" t="n">
        <x:v>27</x:v>
      </x:c>
      <x:c r="B52" s="40" t="n">
        <x:v>17606</x:v>
      </x:c>
      <x:c r="C52" t="str">
        <x:v>C</x:v>
      </x:c>
      <x:c r="D52" s="42" t="n">
        <x:v>1545.5615384615385</x:v>
      </x:c>
      <x:c r="E52" s="42" t="n">
        <x:v>325.949127988148</x:v>
      </x:c>
      <x:c r="F52" s="42" t="n">
        <x:v>0.2108936589562133</x:v>
      </x:c>
      <x:c r="G52" s="42" t="n">
        <x:v>401846</x:v>
      </x:c>
    </x:row>
    <x:row r="53">
      <x:c r="A53" t="n">
        <x:v>4</x:v>
      </x:c>
      <x:c r="B53" s="40" t="n">
        <x:v>17440</x:v>
      </x:c>
      <x:c r="C53" t="str">
        <x:v>C</x:v>
      </x:c>
      <x:c r="D53" s="42" t="n">
        <x:v>1542.9730769230769</x:v>
      </x:c>
      <x:c r="E53" s="42" t="n">
        <x:v>322.50559129293606</x:v>
      </x:c>
      <x:c r="F53" s="42" t="n">
        <x:v>0.20901569581243848</x:v>
      </x:c>
      <x:c r="G53" s="42" t="n">
        <x:v>401173</x:v>
      </x:c>
    </x:row>
    <x:row r="54">
      <x:c r="A54" t="n">
        <x:v>5</x:v>
      </x:c>
      <x:c r="B54" s="40" t="n">
        <x:v>15007</x:v>
      </x:c>
      <x:c r="C54" t="str">
        <x:v>C</x:v>
      </x:c>
      <x:c r="D54" s="42" t="n">
        <x:v>1287.0653846153846</x:v>
      </x:c>
      <x:c r="E54" s="42" t="n">
        <x:v>271.9558779827156</x:v>
      </x:c>
      <x:c r="F54" s="42" t="n">
        <x:v>0.21129919368003555</x:v>
      </x:c>
      <x:c r="G54" s="42" t="n">
        <x:v>334637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a4d0ae3c37d8477b"/>
</x:worksheet>
</file>

<file path=xl/worksheets/sheet5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21" hidden="0" customWidth="1"/>
    <x:col min="5" max="5" width="15" hidden="0" customWidth="1"/>
    <x:col min="6" max="6" width="15" hidden="0" customWidth="1"/>
    <x:col min="7" max="7" width="16" hidden="0" customWidth="1"/>
    <x:col min="8" max="8" width="19" hidden="0" customWidth="1"/>
    <x:col min="9" max="9" width="20" hidden="0" customWidth="1"/>
    <x:col min="10" max="10" width="32" hidden="0" customWidth="1"/>
    <x:col min="11" max="11" width="18" hidden="0" customWidth="1"/>
    <x:col min="12" max="12" width="20" hidden="0" customWidth="1"/>
  </x:cols>
  <x:sheetData>
    <x:row r="1" ht="30" customHeight="1">
      <x:c r="A1" s="4" t="str">
        <x:v>Store-item Inventory Inputs &amp; Reorder Indicators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1" t="str">
        <x:v>Type actual units into yellow columns E:G. Leave them blank when unknown; status will stay UNKNOWN.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2" customHeight="1">
      <x:c r="A4" s="20" t="str">
        <x:v>Store</x:v>
      </x:c>
      <x:c r="B4" s="20" t="str">
        <x:v>Item</x:v>
      </x:c>
      <x:c r="C4" s="20" t="str">
        <x:v>ABC Class</x:v>
      </x:c>
      <x:c r="D4" s="20" t="str">
        <x:v>Reorder Point (default)</x:v>
      </x:c>
      <x:c r="E4" s="20" t="str">
        <x:v>On-hand Units</x:v>
      </x:c>
      <x:c r="F4" s="20" t="str">
        <x:v>On-order Units</x:v>
      </x:c>
      <x:c r="G4" s="20" t="str">
        <x:v>Backorders Units</x:v>
      </x:c>
      <x:c r="H4" s="20" t="str">
        <x:v>Inventory Position</x:v>
      </x:c>
      <x:c r="I4" s="20" t="str">
        <x:v>Suggested Order Units</x:v>
      </x:c>
      <x:c r="J4" s="20" t="str">
        <x:v>Status</x:v>
      </x:c>
      <x:c r="K4" s="20" t="str">
        <x:v>Planning Priority</x:v>
      </x:c>
      <x:c r="L4" s="20" t="str">
        <x:v>Order-up-to Level</x:v>
      </x:c>
    </x:row>
    <x:row r="5">
      <x:c r="A5" t="n">
        <x:v>2</x:v>
      </x:c>
      <x:c r="B5" t="n">
        <x:v>15</x:v>
      </x:c>
      <x:c r="C5" t="str">
        <x:v>A</x:v>
      </x:c>
      <x:c r="D5" s="42" t="n">
        <x:v>1358</x:v>
      </x:c>
      <x:c r="E5" s="44"/>
      <x:c r="F5" s="44"/>
      <x:c r="G5" s="44"/>
      <x:c r="H5" s="42" t="str">
        <x:f>IF(COUNT(E5:G5)=0,"",E5+IF(F5="",0,F5)-IF(G5="",0,G5))</x:f>
      </x:c>
      <x:c r="I5" s="42" t="str">
        <x:f>IF(H5="","",MAX(0,L5-H5))</x:f>
      </x:c>
      <x:c r="J5" t="str">
        <x:f>IF(H5="","UNKNOWN - inventory not entered",IF(H5&lt;=D5,"REORDER NOW",IF(H5&lt;=1.2*D5,"WATCH","OK")))</x:f>
        <x:v>UNKNOWN - inventory not entered</x:v>
      </x:c>
      <x:c r="K5" t="str">
        <x:v>High</x:v>
      </x:c>
      <x:c r="L5" t="n">
        <x:v>2021</x:v>
      </x:c>
    </x:row>
    <x:row r="6">
      <x:c r="A6" t="n">
        <x:v>2</x:v>
      </x:c>
      <x:c r="B6" t="n">
        <x:v>28</x:v>
      </x:c>
      <x:c r="C6" t="str">
        <x:v>A</x:v>
      </x:c>
      <x:c r="D6" s="42" t="n">
        <x:v>1356</x:v>
      </x:c>
      <x:c r="E6" s="44"/>
      <x:c r="F6" s="44"/>
      <x:c r="G6" s="44"/>
      <x:c r="H6" s="42" t="str">
        <x:f>IF(COUNT(E6:G6)=0,"",E6+IF(F6="",0,F6)-IF(G6="",0,G6))</x:f>
      </x:c>
      <x:c r="I6" s="42" t="str">
        <x:f>IF(H6="","",MAX(0,L6-H6))</x:f>
      </x:c>
      <x:c r="J6" t="str">
        <x:f>IF(H6="","UNKNOWN - inventory not entered",IF(H6&lt;=D6,"REORDER NOW",IF(H6&lt;=1.2*D6,"WATCH","OK")))</x:f>
        <x:v>UNKNOWN - inventory not entered</x:v>
      </x:c>
      <x:c r="K6" t="str">
        <x:v>High</x:v>
      </x:c>
      <x:c r="L6" t="n">
        <x:v>1929</x:v>
      </x:c>
    </x:row>
    <x:row r="7">
      <x:c r="A7" t="n">
        <x:v>8</x:v>
      </x:c>
      <x:c r="B7" t="n">
        <x:v>15</x:v>
      </x:c>
      <x:c r="C7" t="str">
        <x:v>A</x:v>
      </x:c>
      <x:c r="D7" s="42" t="n">
        <x:v>1284</x:v>
      </x:c>
      <x:c r="E7" s="44"/>
      <x:c r="F7" s="44"/>
      <x:c r="G7" s="44"/>
      <x:c r="H7" s="42" t="str">
        <x:f>IF(COUNT(E7:G7)=0,"",E7+IF(F7="",0,F7)-IF(G7="",0,G7))</x:f>
      </x:c>
      <x:c r="I7" s="42" t="str">
        <x:f>IF(H7="","",MAX(0,L7-H7))</x:f>
      </x:c>
      <x:c r="J7" t="str">
        <x:f>IF(H7="","UNKNOWN - inventory not entered",IF(H7&lt;=D7,"REORDER NOW",IF(H7&lt;=1.2*D7,"WATCH","OK")))</x:f>
        <x:v>UNKNOWN - inventory not entered</x:v>
      </x:c>
      <x:c r="K7" t="str">
        <x:v>High</x:v>
      </x:c>
      <x:c r="L7" t="n">
        <x:v>1846</x:v>
      </x:c>
    </x:row>
    <x:row r="8">
      <x:c r="A8" t="n">
        <x:v>8</x:v>
      </x:c>
      <x:c r="B8" t="n">
        <x:v>28</x:v>
      </x:c>
      <x:c r="C8" t="str">
        <x:v>A</x:v>
      </x:c>
      <x:c r="D8" s="42" t="n">
        <x:v>1266</x:v>
      </x:c>
      <x:c r="E8" s="44"/>
      <x:c r="F8" s="44"/>
      <x:c r="G8" s="44"/>
      <x:c r="H8" s="42" t="str">
        <x:f>IF(COUNT(E8:G8)=0,"",E8+IF(F8="",0,F8)-IF(G8="",0,G8))</x:f>
      </x:c>
      <x:c r="I8" s="42" t="str">
        <x:f>IF(H8="","",MAX(0,L8-H8))</x:f>
      </x:c>
      <x:c r="J8" t="str">
        <x:f>IF(H8="","UNKNOWN - inventory not entered",IF(H8&lt;=D8,"REORDER NOW",IF(H8&lt;=1.2*D8,"WATCH","OK")))</x:f>
        <x:v>UNKNOWN - inventory not entered</x:v>
      </x:c>
      <x:c r="K8" t="str">
        <x:v>High</x:v>
      </x:c>
      <x:c r="L8" t="n">
        <x:v>1849</x:v>
      </x:c>
    </x:row>
    <x:row r="9">
      <x:c r="A9" t="n">
        <x:v>2</x:v>
      </x:c>
      <x:c r="B9" t="n">
        <x:v>18</x:v>
      </x:c>
      <x:c r="C9" t="str">
        <x:v>A</x:v>
      </x:c>
      <x:c r="D9" s="42" t="n">
        <x:v>1190</x:v>
      </x:c>
      <x:c r="E9" s="44"/>
      <x:c r="F9" s="44"/>
      <x:c r="G9" s="44"/>
      <x:c r="H9" s="42" t="str">
        <x:f>IF(COUNT(E9:G9)=0,"",E9+IF(F9="",0,F9)-IF(G9="",0,G9))</x:f>
      </x:c>
      <x:c r="I9" s="42" t="str">
        <x:f>IF(H9="","",MAX(0,L9-H9))</x:f>
      </x:c>
      <x:c r="J9" t="str">
        <x:f>IF(H9="","UNKNOWN - inventory not entered",IF(H9&lt;=D9,"REORDER NOW",IF(H9&lt;=1.2*D9,"WATCH","OK")))</x:f>
        <x:v>UNKNOWN - inventory not entered</x:v>
      </x:c>
      <x:c r="K9" t="str">
        <x:v>High</x:v>
      </x:c>
      <x:c r="L9" t="n">
        <x:v>1788</x:v>
      </x:c>
    </x:row>
    <x:row r="10">
      <x:c r="A10" t="n">
        <x:v>2</x:v>
      </x:c>
      <x:c r="B10" t="n">
        <x:v>13</x:v>
      </x:c>
      <x:c r="C10" t="str">
        <x:v>A</x:v>
      </x:c>
      <x:c r="D10" s="42" t="n">
        <x:v>1244</x:v>
      </x:c>
      <x:c r="E10" s="44"/>
      <x:c r="F10" s="44"/>
      <x:c r="G10" s="44"/>
      <x:c r="H10" s="42" t="str">
        <x:f>IF(COUNT(E10:G10)=0,"",E10+IF(F10="",0,F10)-IF(G10="",0,G10))</x:f>
      </x:c>
      <x:c r="I10" s="42" t="str">
        <x:f>IF(H10="","",MAX(0,L10-H10))</x:f>
      </x:c>
      <x:c r="J10" t="str">
        <x:f>IF(H10="","UNKNOWN - inventory not entered",IF(H10&lt;=D10,"REORDER NOW",IF(H10&lt;=1.2*D10,"WATCH","OK")))</x:f>
        <x:v>UNKNOWN - inventory not entered</x:v>
      </x:c>
      <x:c r="K10" t="str">
        <x:v>High</x:v>
      </x:c>
      <x:c r="L10" t="n">
        <x:v>1823</x:v>
      </x:c>
    </x:row>
    <x:row r="11">
      <x:c r="A11" t="n">
        <x:v>8</x:v>
      </x:c>
      <x:c r="B11" t="n">
        <x:v>18</x:v>
      </x:c>
      <x:c r="C11" t="str">
        <x:v>A</x:v>
      </x:c>
      <x:c r="D11" s="42" t="n">
        <x:v>1194</x:v>
      </x:c>
      <x:c r="E11" s="44"/>
      <x:c r="F11" s="44"/>
      <x:c r="G11" s="44"/>
      <x:c r="H11" s="42" t="str">
        <x:f>IF(COUNT(E11:G11)=0,"",E11+IF(F11="",0,F11)-IF(G11="",0,G11))</x:f>
      </x:c>
      <x:c r="I11" s="42" t="str">
        <x:f>IF(H11="","",MAX(0,L11-H11))</x:f>
      </x:c>
      <x:c r="J11" t="str">
        <x:f>IF(H11="","UNKNOWN - inventory not entered",IF(H11&lt;=D11,"REORDER NOW",IF(H11&lt;=1.2*D11,"WATCH","OK")))</x:f>
        <x:v>UNKNOWN - inventory not entered</x:v>
      </x:c>
      <x:c r="K11" t="str">
        <x:v>High</x:v>
      </x:c>
      <x:c r="L11" t="n">
        <x:v>1781</x:v>
      </x:c>
    </x:row>
    <x:row r="12">
      <x:c r="A12" t="n">
        <x:v>8</x:v>
      </x:c>
      <x:c r="B12" t="n">
        <x:v>13</x:v>
      </x:c>
      <x:c r="C12" t="str">
        <x:v>A</x:v>
      </x:c>
      <x:c r="D12" s="42" t="n">
        <x:v>1274</x:v>
      </x:c>
      <x:c r="E12" s="44"/>
      <x:c r="F12" s="44"/>
      <x:c r="G12" s="44"/>
      <x:c r="H12" s="42" t="str">
        <x:f>IF(COUNT(E12:G12)=0,"",E12+IF(F12="",0,F12)-IF(G12="",0,G12))</x:f>
      </x:c>
      <x:c r="I12" s="42" t="str">
        <x:f>IF(H12="","",MAX(0,L12-H12))</x:f>
      </x:c>
      <x:c r="J12" t="str">
        <x:f>IF(H12="","UNKNOWN - inventory not entered",IF(H12&lt;=D12,"REORDER NOW",IF(H12&lt;=1.2*D12,"WATCH","OK")))</x:f>
        <x:v>UNKNOWN - inventory not entered</x:v>
      </x:c>
      <x:c r="K12" t="str">
        <x:v>High</x:v>
      </x:c>
      <x:c r="L12" t="n">
        <x:v>1824</x:v>
      </x:c>
    </x:row>
    <x:row r="13">
      <x:c r="A13" t="n">
        <x:v>2</x:v>
      </x:c>
      <x:c r="B13" t="n">
        <x:v>45</x:v>
      </x:c>
      <x:c r="C13" t="str">
        <x:v>A</x:v>
      </x:c>
      <x:c r="D13" s="42" t="n">
        <x:v>1180</x:v>
      </x:c>
      <x:c r="E13" s="44"/>
      <x:c r="F13" s="44"/>
      <x:c r="G13" s="44"/>
      <x:c r="H13" s="42" t="str">
        <x:f>IF(COUNT(E13:G13)=0,"",E13+IF(F13="",0,F13)-IF(G13="",0,G13))</x:f>
      </x:c>
      <x:c r="I13" s="42" t="str">
        <x:f>IF(H13="","",MAX(0,L13-H13))</x:f>
      </x:c>
      <x:c r="J13" t="str">
        <x:f>IF(H13="","UNKNOWN - inventory not entered",IF(H13&lt;=D13,"REORDER NOW",IF(H13&lt;=1.2*D13,"WATCH","OK")))</x:f>
        <x:v>UNKNOWN - inventory not entered</x:v>
      </x:c>
      <x:c r="K13" t="str">
        <x:v>High</x:v>
      </x:c>
      <x:c r="L13" t="n">
        <x:v>1798</x:v>
      </x:c>
    </x:row>
    <x:row r="14">
      <x:c r="A14" t="n">
        <x:v>2</x:v>
      </x:c>
      <x:c r="B14" t="n">
        <x:v>22</x:v>
      </x:c>
      <x:c r="C14" t="str">
        <x:v>A</x:v>
      </x:c>
      <x:c r="D14" s="42" t="n">
        <x:v>1177</x:v>
      </x:c>
      <x:c r="E14" s="44"/>
      <x:c r="F14" s="44"/>
      <x:c r="G14" s="44"/>
      <x:c r="H14" s="42" t="str">
        <x:f>IF(COUNT(E14:G14)=0,"",E14+IF(F14="",0,F14)-IF(G14="",0,G14))</x:f>
      </x:c>
      <x:c r="I14" s="42" t="str">
        <x:f>IF(H14="","",MAX(0,L14-H14))</x:f>
      </x:c>
      <x:c r="J14" t="str">
        <x:f>IF(H14="","UNKNOWN - inventory not entered",IF(H14&lt;=D14,"REORDER NOW",IF(H14&lt;=1.2*D14,"WATCH","OK")))</x:f>
        <x:v>UNKNOWN - inventory not entered</x:v>
      </x:c>
      <x:c r="K14" t="str">
        <x:v>High</x:v>
      </x:c>
      <x:c r="L14" t="n">
        <x:v>1753</x:v>
      </x:c>
    </x:row>
    <x:row r="15">
      <x:c r="A15" t="n">
        <x:v>2</x:v>
      </x:c>
      <x:c r="B15" t="n">
        <x:v>38</x:v>
      </x:c>
      <x:c r="C15" t="str">
        <x:v>A</x:v>
      </x:c>
      <x:c r="D15" s="42" t="n">
        <x:v>1203</x:v>
      </x:c>
      <x:c r="E15" s="44"/>
      <x:c r="F15" s="44"/>
      <x:c r="G15" s="44"/>
      <x:c r="H15" s="42" t="str">
        <x:f>IF(COUNT(E15:G15)=0,"",E15+IF(F15="",0,F15)-IF(G15="",0,G15))</x:f>
      </x:c>
      <x:c r="I15" s="42" t="str">
        <x:f>IF(H15="","",MAX(0,L15-H15))</x:f>
      </x:c>
      <x:c r="J15" t="str">
        <x:f>IF(H15="","UNKNOWN - inventory not entered",IF(H15&lt;=D15,"REORDER NOW",IF(H15&lt;=1.2*D15,"WATCH","OK")))</x:f>
        <x:v>UNKNOWN - inventory not entered</x:v>
      </x:c>
      <x:c r="K15" t="str">
        <x:v>High</x:v>
      </x:c>
      <x:c r="L15" t="n">
        <x:v>1738</x:v>
      </x:c>
    </x:row>
    <x:row r="16">
      <x:c r="A16" t="n">
        <x:v>2</x:v>
      </x:c>
      <x:c r="B16" t="n">
        <x:v>25</x:v>
      </x:c>
      <x:c r="C16" t="str">
        <x:v>A</x:v>
      </x:c>
      <x:c r="D16" s="42" t="n">
        <x:v>1193</x:v>
      </x:c>
      <x:c r="E16" s="44"/>
      <x:c r="F16" s="44"/>
      <x:c r="G16" s="44"/>
      <x:c r="H16" s="42" t="str">
        <x:f>IF(COUNT(E16:G16)=0,"",E16+IF(F16="",0,F16)-IF(G16="",0,G16))</x:f>
      </x:c>
      <x:c r="I16" s="42" t="str">
        <x:f>IF(H16="","",MAX(0,L16-H16))</x:f>
      </x:c>
      <x:c r="J16" t="str">
        <x:f>IF(H16="","UNKNOWN - inventory not entered",IF(H16&lt;=D16,"REORDER NOW",IF(H16&lt;=1.2*D16,"WATCH","OK")))</x:f>
        <x:v>UNKNOWN - inventory not entered</x:v>
      </x:c>
      <x:c r="K16" t="str">
        <x:v>High</x:v>
      </x:c>
      <x:c r="L16" t="n">
        <x:v>1760</x:v>
      </x:c>
    </x:row>
    <x:row r="17">
      <x:c r="A17" t="n">
        <x:v>3</x:v>
      </x:c>
      <x:c r="B17" t="n">
        <x:v>15</x:v>
      </x:c>
      <x:c r="C17" t="str">
        <x:v>A</x:v>
      </x:c>
      <x:c r="D17" s="42" t="n">
        <x:v>1223</x:v>
      </x:c>
      <x:c r="E17" s="44"/>
      <x:c r="F17" s="44"/>
      <x:c r="G17" s="44"/>
      <x:c r="H17" s="42" t="str">
        <x:f>IF(COUNT(E17:G17)=0,"",E17+IF(F17="",0,F17)-IF(G17="",0,G17))</x:f>
      </x:c>
      <x:c r="I17" s="42" t="str">
        <x:f>IF(H17="","",MAX(0,L17-H17))</x:f>
      </x:c>
      <x:c r="J17" t="str">
        <x:f>IF(H17="","UNKNOWN - inventory not entered",IF(H17&lt;=D17,"REORDER NOW",IF(H17&lt;=1.2*D17,"WATCH","OK")))</x:f>
        <x:v>UNKNOWN - inventory not entered</x:v>
      </x:c>
      <x:c r="K17" t="str">
        <x:v>High</x:v>
      </x:c>
      <x:c r="L17" t="n">
        <x:v>1780</x:v>
      </x:c>
    </x:row>
    <x:row r="18">
      <x:c r="A18" t="n">
        <x:v>3</x:v>
      </x:c>
      <x:c r="B18" t="n">
        <x:v>28</x:v>
      </x:c>
      <x:c r="C18" t="str">
        <x:v>A</x:v>
      </x:c>
      <x:c r="D18" s="42" t="n">
        <x:v>1163</x:v>
      </x:c>
      <x:c r="E18" s="44"/>
      <x:c r="F18" s="44"/>
      <x:c r="G18" s="44"/>
      <x:c r="H18" s="42" t="str">
        <x:f>IF(COUNT(E18:G18)=0,"",E18+IF(F18="",0,F18)-IF(G18="",0,G18))</x:f>
      </x:c>
      <x:c r="I18" s="42" t="str">
        <x:f>IF(H18="","",MAX(0,L18-H18))</x:f>
      </x:c>
      <x:c r="J18" t="str">
        <x:f>IF(H18="","UNKNOWN - inventory not entered",IF(H18&lt;=D18,"REORDER NOW",IF(H18&lt;=1.2*D18,"WATCH","OK")))</x:f>
        <x:v>UNKNOWN - inventory not entered</x:v>
      </x:c>
      <x:c r="K18" t="str">
        <x:v>High</x:v>
      </x:c>
      <x:c r="L18" t="n">
        <x:v>1745</x:v>
      </x:c>
    </x:row>
    <x:row r="19">
      <x:c r="A19" t="n">
        <x:v>10</x:v>
      </x:c>
      <x:c r="B19" t="n">
        <x:v>15</x:v>
      </x:c>
      <x:c r="C19" t="str">
        <x:v>A</x:v>
      </x:c>
      <x:c r="D19" s="42" t="n">
        <x:v>1157</x:v>
      </x:c>
      <x:c r="E19" s="44"/>
      <x:c r="F19" s="44"/>
      <x:c r="G19" s="44"/>
      <x:c r="H19" s="42" t="str">
        <x:f>IF(COUNT(E19:G19)=0,"",E19+IF(F19="",0,F19)-IF(G19="",0,G19))</x:f>
      </x:c>
      <x:c r="I19" s="42" t="str">
        <x:f>IF(H19="","",MAX(0,L19-H19))</x:f>
      </x:c>
      <x:c r="J19" t="str">
        <x:f>IF(H19="","UNKNOWN - inventory not entered",IF(H19&lt;=D19,"REORDER NOW",IF(H19&lt;=1.2*D19,"WATCH","OK")))</x:f>
        <x:v>UNKNOWN - inventory not entered</x:v>
      </x:c>
      <x:c r="K19" t="str">
        <x:v>High</x:v>
      </x:c>
      <x:c r="L19" t="n">
        <x:v>1703</x:v>
      </x:c>
    </x:row>
    <x:row r="20">
      <x:c r="A20" t="n">
        <x:v>8</x:v>
      </x:c>
      <x:c r="B20" t="n">
        <x:v>25</x:v>
      </x:c>
      <x:c r="C20" t="str">
        <x:v>A</x:v>
      </x:c>
      <x:c r="D20" s="42" t="n">
        <x:v>1135</x:v>
      </x:c>
      <x:c r="E20" s="44"/>
      <x:c r="F20" s="44"/>
      <x:c r="G20" s="44"/>
      <x:c r="H20" s="42" t="str">
        <x:f>IF(COUNT(E20:G20)=0,"",E20+IF(F20="",0,F20)-IF(G20="",0,G20))</x:f>
      </x:c>
      <x:c r="I20" s="42" t="str">
        <x:f>IF(H20="","",MAX(0,L20-H20))</x:f>
      </x:c>
      <x:c r="J20" t="str">
        <x:f>IF(H20="","UNKNOWN - inventory not entered",IF(H20&lt;=D20,"REORDER NOW",IF(H20&lt;=1.2*D20,"WATCH","OK")))</x:f>
        <x:v>UNKNOWN - inventory not entered</x:v>
      </x:c>
      <x:c r="K20" t="str">
        <x:v>High</x:v>
      </x:c>
      <x:c r="L20" t="n">
        <x:v>1682</x:v>
      </x:c>
    </x:row>
    <x:row r="21">
      <x:c r="A21" t="n">
        <x:v>2</x:v>
      </x:c>
      <x:c r="B21" t="n">
        <x:v>36</x:v>
      </x:c>
      <x:c r="C21" t="str">
        <x:v>A</x:v>
      </x:c>
      <x:c r="D21" s="42" t="n">
        <x:v>1146</x:v>
      </x:c>
      <x:c r="E21" s="44"/>
      <x:c r="F21" s="44"/>
      <x:c r="G21" s="44"/>
      <x:c r="H21" s="42" t="str">
        <x:f>IF(COUNT(E21:G21)=0,"",E21+IF(F21="",0,F21)-IF(G21="",0,G21))</x:f>
      </x:c>
      <x:c r="I21" s="42" t="str">
        <x:f>IF(H21="","",MAX(0,L21-H21))</x:f>
      </x:c>
      <x:c r="J21" t="str">
        <x:f>IF(H21="","UNKNOWN - inventory not entered",IF(H21&lt;=D21,"REORDER NOW",IF(H21&lt;=1.2*D21,"WATCH","OK")))</x:f>
        <x:v>UNKNOWN - inventory not entered</x:v>
      </x:c>
      <x:c r="K21" t="str">
        <x:v>High</x:v>
      </x:c>
      <x:c r="L21" t="n">
        <x:v>1714</x:v>
      </x:c>
    </x:row>
    <x:row r="22">
      <x:c r="A22" t="n">
        <x:v>10</x:v>
      </x:c>
      <x:c r="B22" t="n">
        <x:v>28</x:v>
      </x:c>
      <x:c r="C22" t="str">
        <x:v>A</x:v>
      </x:c>
      <x:c r="D22" s="42" t="n">
        <x:v>1158</x:v>
      </x:c>
      <x:c r="E22" s="44"/>
      <x:c r="F22" s="44"/>
      <x:c r="G22" s="44"/>
      <x:c r="H22" s="42" t="str">
        <x:f>IF(COUNT(E22:G22)=0,"",E22+IF(F22="",0,F22)-IF(G22="",0,G22))</x:f>
      </x:c>
      <x:c r="I22" s="42" t="str">
        <x:f>IF(H22="","",MAX(0,L22-H22))</x:f>
      </x:c>
      <x:c r="J22" t="str">
        <x:f>IF(H22="","UNKNOWN - inventory not entered",IF(H22&lt;=D22,"REORDER NOW",IF(H22&lt;=1.2*D22,"WATCH","OK")))</x:f>
        <x:v>UNKNOWN - inventory not entered</x:v>
      </x:c>
      <x:c r="K22" t="str">
        <x:v>High</x:v>
      </x:c>
      <x:c r="L22" t="n">
        <x:v>1713</x:v>
      </x:c>
    </x:row>
    <x:row r="23">
      <x:c r="A23" t="n">
        <x:v>8</x:v>
      </x:c>
      <x:c r="B23" t="n">
        <x:v>45</x:v>
      </x:c>
      <x:c r="C23" t="str">
        <x:v>A</x:v>
      </x:c>
      <x:c r="D23" s="42" t="n">
        <x:v>1159</x:v>
      </x:c>
      <x:c r="E23" s="44"/>
      <x:c r="F23" s="44"/>
      <x:c r="G23" s="44"/>
      <x:c r="H23" s="42" t="str">
        <x:f>IF(COUNT(E23:G23)=0,"",E23+IF(F23="",0,F23)-IF(G23="",0,G23))</x:f>
      </x:c>
      <x:c r="I23" s="42" t="str">
        <x:f>IF(H23="","",MAX(0,L23-H23))</x:f>
      </x:c>
      <x:c r="J23" t="str">
        <x:f>IF(H23="","UNKNOWN - inventory not entered",IF(H23&lt;=D23,"REORDER NOW",IF(H23&lt;=1.2*D23,"WATCH","OK")))</x:f>
        <x:v>UNKNOWN - inventory not entered</x:v>
      </x:c>
      <x:c r="K23" t="str">
        <x:v>High</x:v>
      </x:c>
      <x:c r="L23" t="n">
        <x:v>1716</x:v>
      </x:c>
    </x:row>
    <x:row r="24">
      <x:c r="A24" t="n">
        <x:v>8</x:v>
      </x:c>
      <x:c r="B24" t="n">
        <x:v>22</x:v>
      </x:c>
      <x:c r="C24" t="str">
        <x:v>A</x:v>
      </x:c>
      <x:c r="D24" s="42" t="n">
        <x:v>1140</x:v>
      </x:c>
      <x:c r="E24" s="44"/>
      <x:c r="F24" s="44"/>
      <x:c r="G24" s="44"/>
      <x:c r="H24" s="42" t="str">
        <x:f>IF(COUNT(E24:G24)=0,"",E24+IF(F24="",0,F24)-IF(G24="",0,G24))</x:f>
      </x:c>
      <x:c r="I24" s="42" t="str">
        <x:f>IF(H24="","",MAX(0,L24-H24))</x:f>
      </x:c>
      <x:c r="J24" t="str">
        <x:f>IF(H24="","UNKNOWN - inventory not entered",IF(H24&lt;=D24,"REORDER NOW",IF(H24&lt;=1.2*D24,"WATCH","OK")))</x:f>
        <x:v>UNKNOWN - inventory not entered</x:v>
      </x:c>
      <x:c r="K24" t="str">
        <x:v>High</x:v>
      </x:c>
      <x:c r="L24" t="n">
        <x:v>1727</x:v>
      </x:c>
    </x:row>
    <x:row r="25">
      <x:c r="A25" t="n">
        <x:v>3</x:v>
      </x:c>
      <x:c r="B25" t="n">
        <x:v>13</x:v>
      </x:c>
      <x:c r="C25" t="str">
        <x:v>A</x:v>
      </x:c>
      <x:c r="D25" s="42" t="n">
        <x:v>1136</x:v>
      </x:c>
      <x:c r="E25" s="44"/>
      <x:c r="F25" s="44"/>
      <x:c r="G25" s="44"/>
      <x:c r="H25" s="42" t="str">
        <x:f>IF(COUNT(E25:G25)=0,"",E25+IF(F25="",0,F25)-IF(G25="",0,G25))</x:f>
      </x:c>
      <x:c r="I25" s="42" t="str">
        <x:f>IF(H25="","",MAX(0,L25-H25))</x:f>
      </x:c>
      <x:c r="J25" t="str">
        <x:f>IF(H25="","UNKNOWN - inventory not entered",IF(H25&lt;=D25,"REORDER NOW",IF(H25&lt;=1.2*D25,"WATCH","OK")))</x:f>
        <x:v>UNKNOWN - inventory not entered</x:v>
      </x:c>
      <x:c r="K25" t="str">
        <x:v>High</x:v>
      </x:c>
      <x:c r="L25" t="n">
        <x:v>1689</x:v>
      </x:c>
    </x:row>
    <x:row r="26">
      <x:c r="A26" t="n">
        <x:v>8</x:v>
      </x:c>
      <x:c r="B26" t="n">
        <x:v>38</x:v>
      </x:c>
      <x:c r="C26" t="str">
        <x:v>A</x:v>
      </x:c>
      <x:c r="D26" s="42" t="n">
        <x:v>1138</x:v>
      </x:c>
      <x:c r="E26" s="44"/>
      <x:c r="F26" s="44"/>
      <x:c r="G26" s="44"/>
      <x:c r="H26" s="42" t="str">
        <x:f>IF(COUNT(E26:G26)=0,"",E26+IF(F26="",0,F26)-IF(G26="",0,G26))</x:f>
      </x:c>
      <x:c r="I26" s="42" t="str">
        <x:f>IF(H26="","",MAX(0,L26-H26))</x:f>
      </x:c>
      <x:c r="J26" t="str">
        <x:f>IF(H26="","UNKNOWN - inventory not entered",IF(H26&lt;=D26,"REORDER NOW",IF(H26&lt;=1.2*D26,"WATCH","OK")))</x:f>
        <x:v>UNKNOWN - inventory not entered</x:v>
      </x:c>
      <x:c r="K26" t="str">
        <x:v>High</x:v>
      </x:c>
      <x:c r="L26" t="n">
        <x:v>1706</x:v>
      </x:c>
    </x:row>
    <x:row r="27">
      <x:c r="A27" t="n">
        <x:v>2</x:v>
      </x:c>
      <x:c r="B27" t="n">
        <x:v>8</x:v>
      </x:c>
      <x:c r="C27" t="str">
        <x:v>A</x:v>
      </x:c>
      <x:c r="D27" s="42" t="n">
        <x:v>1149</x:v>
      </x:c>
      <x:c r="E27" s="44"/>
      <x:c r="F27" s="44"/>
      <x:c r="G27" s="44"/>
      <x:c r="H27" s="42" t="str">
        <x:f>IF(COUNT(E27:G27)=0,"",E27+IF(F27="",0,F27)-IF(G27="",0,G27))</x:f>
      </x:c>
      <x:c r="I27" s="42" t="str">
        <x:f>IF(H27="","",MAX(0,L27-H27))</x:f>
      </x:c>
      <x:c r="J27" t="str">
        <x:f>IF(H27="","UNKNOWN - inventory not entered",IF(H27&lt;=D27,"REORDER NOW",IF(H27&lt;=1.2*D27,"WATCH","OK")))</x:f>
        <x:v>UNKNOWN - inventory not entered</x:v>
      </x:c>
      <x:c r="K27" t="str">
        <x:v>High</x:v>
      </x:c>
      <x:c r="L27" t="n">
        <x:v>1686</x:v>
      </x:c>
    </x:row>
    <x:row r="28">
      <x:c r="A28" t="n">
        <x:v>8</x:v>
      </x:c>
      <x:c r="B28" t="n">
        <x:v>8</x:v>
      </x:c>
      <x:c r="C28" t="str">
        <x:v>A</x:v>
      </x:c>
      <x:c r="D28" s="42" t="n">
        <x:v>1121</x:v>
      </x:c>
      <x:c r="E28" s="44"/>
      <x:c r="F28" s="44"/>
      <x:c r="G28" s="44"/>
      <x:c r="H28" s="42" t="str">
        <x:f>IF(COUNT(E28:G28)=0,"",E28+IF(F28="",0,F28)-IF(G28="",0,G28))</x:f>
      </x:c>
      <x:c r="I28" s="42" t="str">
        <x:f>IF(H28="","",MAX(0,L28-H28))</x:f>
      </x:c>
      <x:c r="J28" t="str">
        <x:f>IF(H28="","UNKNOWN - inventory not entered",IF(H28&lt;=D28,"REORDER NOW",IF(H28&lt;=1.2*D28,"WATCH","OK")))</x:f>
        <x:v>UNKNOWN - inventory not entered</x:v>
      </x:c>
      <x:c r="K28" t="str">
        <x:v>High</x:v>
      </x:c>
      <x:c r="L28" t="n">
        <x:v>1643</x:v>
      </x:c>
    </x:row>
    <x:row r="29">
      <x:c r="A29" t="n">
        <x:v>10</x:v>
      </x:c>
      <x:c r="B29" t="n">
        <x:v>13</x:v>
      </x:c>
      <x:c r="C29" t="str">
        <x:v>A</x:v>
      </x:c>
      <x:c r="D29" s="42" t="n">
        <x:v>1145</x:v>
      </x:c>
      <x:c r="E29" s="44"/>
      <x:c r="F29" s="44"/>
      <x:c r="G29" s="44"/>
      <x:c r="H29" s="42" t="str">
        <x:f>IF(COUNT(E29:G29)=0,"",E29+IF(F29="",0,F29)-IF(G29="",0,G29))</x:f>
      </x:c>
      <x:c r="I29" s="42" t="str">
        <x:f>IF(H29="","",MAX(0,L29-H29))</x:f>
      </x:c>
      <x:c r="J29" t="str">
        <x:f>IF(H29="","UNKNOWN - inventory not entered",IF(H29&lt;=D29,"REORDER NOW",IF(H29&lt;=1.2*D29,"WATCH","OK")))</x:f>
        <x:v>UNKNOWN - inventory not entered</x:v>
      </x:c>
      <x:c r="K29" t="str">
        <x:v>High</x:v>
      </x:c>
      <x:c r="L29" t="n">
        <x:v>1711</x:v>
      </x:c>
    </x:row>
    <x:row r="30">
      <x:c r="A30" t="n">
        <x:v>3</x:v>
      </x:c>
      <x:c r="B30" t="n">
        <x:v>18</x:v>
      </x:c>
      <x:c r="C30" t="str">
        <x:v>A</x:v>
      </x:c>
      <x:c r="D30" s="42" t="n">
        <x:v>1109</x:v>
      </x:c>
      <x:c r="E30" s="44"/>
      <x:c r="F30" s="44"/>
      <x:c r="G30" s="44"/>
      <x:c r="H30" s="42" t="str">
        <x:f>IF(COUNT(E30:G30)=0,"",E30+IF(F30="",0,F30)-IF(G30="",0,G30))</x:f>
      </x:c>
      <x:c r="I30" s="42" t="str">
        <x:f>IF(H30="","",MAX(0,L30-H30))</x:f>
      </x:c>
      <x:c r="J30" t="str">
        <x:f>IF(H30="","UNKNOWN - inventory not entered",IF(H30&lt;=D30,"REORDER NOW",IF(H30&lt;=1.2*D30,"WATCH","OK")))</x:f>
        <x:v>UNKNOWN - inventory not entered</x:v>
      </x:c>
      <x:c r="K30" t="str">
        <x:v>High</x:v>
      </x:c>
      <x:c r="L30" t="n">
        <x:v>1645</x:v>
      </x:c>
    </x:row>
    <x:row r="31">
      <x:c r="A31" t="n">
        <x:v>10</x:v>
      </x:c>
      <x:c r="B31" t="n">
        <x:v>18</x:v>
      </x:c>
      <x:c r="C31" t="str">
        <x:v>A</x:v>
      </x:c>
      <x:c r="D31" s="42" t="n">
        <x:v>1075</x:v>
      </x:c>
      <x:c r="E31" s="44"/>
      <x:c r="F31" s="44"/>
      <x:c r="G31" s="44"/>
      <x:c r="H31" s="42" t="str">
        <x:f>IF(COUNT(E31:G31)=0,"",E31+IF(F31="",0,F31)-IF(G31="",0,G31))</x:f>
      </x:c>
      <x:c r="I31" s="42" t="str">
        <x:f>IF(H31="","",MAX(0,L31-H31))</x:f>
      </x:c>
      <x:c r="J31" t="str">
        <x:f>IF(H31="","UNKNOWN - inventory not entered",IF(H31&lt;=D31,"REORDER NOW",IF(H31&lt;=1.2*D31,"WATCH","OK")))</x:f>
        <x:v>UNKNOWN - inventory not entered</x:v>
      </x:c>
      <x:c r="K31" t="str">
        <x:v>High</x:v>
      </x:c>
      <x:c r="L31" t="n">
        <x:v>1562</x:v>
      </x:c>
    </x:row>
    <x:row r="32">
      <x:c r="A32" t="n">
        <x:v>2</x:v>
      </x:c>
      <x:c r="B32" t="n">
        <x:v>10</x:v>
      </x:c>
      <x:c r="C32" t="str">
        <x:v>A</x:v>
      </x:c>
      <x:c r="D32" s="42" t="n">
        <x:v>1154</x:v>
      </x:c>
      <x:c r="E32" s="44"/>
      <x:c r="F32" s="44"/>
      <x:c r="G32" s="44"/>
      <x:c r="H32" s="42" t="str">
        <x:f>IF(COUNT(E32:G32)=0,"",E32+IF(F32="",0,F32)-IF(G32="",0,G32))</x:f>
      </x:c>
      <x:c r="I32" s="42" t="str">
        <x:f>IF(H32="","",MAX(0,L32-H32))</x:f>
      </x:c>
      <x:c r="J32" t="str">
        <x:f>IF(H32="","UNKNOWN - inventory not entered",IF(H32&lt;=D32,"REORDER NOW",IF(H32&lt;=1.2*D32,"WATCH","OK")))</x:f>
        <x:v>UNKNOWN - inventory not entered</x:v>
      </x:c>
      <x:c r="K32" t="str">
        <x:v>High</x:v>
      </x:c>
      <x:c r="L32" t="n">
        <x:v>1678</x:v>
      </x:c>
    </x:row>
    <x:row r="33">
      <x:c r="A33" t="n">
        <x:v>8</x:v>
      </x:c>
      <x:c r="B33" t="n">
        <x:v>36</x:v>
      </x:c>
      <x:c r="C33" t="str">
        <x:v>A</x:v>
      </x:c>
      <x:c r="D33" s="42" t="n">
        <x:v>1111</x:v>
      </x:c>
      <x:c r="E33" s="44"/>
      <x:c r="F33" s="44"/>
      <x:c r="G33" s="44"/>
      <x:c r="H33" s="42" t="str">
        <x:f>IF(COUNT(E33:G33)=0,"",E33+IF(F33="",0,F33)-IF(G33="",0,G33))</x:f>
      </x:c>
      <x:c r="I33" s="42" t="str">
        <x:f>IF(H33="","",MAX(0,L33-H33))</x:f>
      </x:c>
      <x:c r="J33" t="str">
        <x:f>IF(H33="","UNKNOWN - inventory not entered",IF(H33&lt;=D33,"REORDER NOW",IF(H33&lt;=1.2*D33,"WATCH","OK")))</x:f>
        <x:v>UNKNOWN - inventory not entered</x:v>
      </x:c>
      <x:c r="K33" t="str">
        <x:v>High</x:v>
      </x:c>
      <x:c r="L33" t="n">
        <x:v>1628</x:v>
      </x:c>
    </x:row>
    <x:row r="34">
      <x:c r="A34" t="n">
        <x:v>9</x:v>
      </x:c>
      <x:c r="B34" t="n">
        <x:v>28</x:v>
      </x:c>
      <x:c r="C34" t="str">
        <x:v>A</x:v>
      </x:c>
      <x:c r="D34" s="42" t="n">
        <x:v>1077</x:v>
      </x:c>
      <x:c r="E34" s="44"/>
      <x:c r="F34" s="44"/>
      <x:c r="G34" s="44"/>
      <x:c r="H34" s="42" t="str">
        <x:f>IF(COUNT(E34:G34)=0,"",E34+IF(F34="",0,F34)-IF(G34="",0,G34))</x:f>
      </x:c>
      <x:c r="I34" s="42" t="str">
        <x:f>IF(H34="","",MAX(0,L34-H34))</x:f>
      </x:c>
      <x:c r="J34" t="str">
        <x:f>IF(H34="","UNKNOWN - inventory not entered",IF(H34&lt;=D34,"REORDER NOW",IF(H34&lt;=1.2*D34,"WATCH","OK")))</x:f>
        <x:v>UNKNOWN - inventory not entered</x:v>
      </x:c>
      <x:c r="K34" t="str">
        <x:v>High</x:v>
      </x:c>
      <x:c r="L34" t="n">
        <x:v>1598</x:v>
      </x:c>
    </x:row>
    <x:row r="35">
      <x:c r="A35" t="n">
        <x:v>4</x:v>
      </x:c>
      <x:c r="B35" t="n">
        <x:v>15</x:v>
      </x:c>
      <x:c r="C35" t="str">
        <x:v>A</x:v>
      </x:c>
      <x:c r="D35" s="42" t="n">
        <x:v>1080</x:v>
      </x:c>
      <x:c r="E35" s="44"/>
      <x:c r="F35" s="44"/>
      <x:c r="G35" s="44"/>
      <x:c r="H35" s="42" t="str">
        <x:f>IF(COUNT(E35:G35)=0,"",E35+IF(F35="",0,F35)-IF(G35="",0,G35))</x:f>
      </x:c>
      <x:c r="I35" s="42" t="str">
        <x:f>IF(H35="","",MAX(0,L35-H35))</x:f>
      </x:c>
      <x:c r="J35" t="str">
        <x:f>IF(H35="","UNKNOWN - inventory not entered",IF(H35&lt;=D35,"REORDER NOW",IF(H35&lt;=1.2*D35,"WATCH","OK")))</x:f>
        <x:v>UNKNOWN - inventory not entered</x:v>
      </x:c>
      <x:c r="K35" t="str">
        <x:v>High</x:v>
      </x:c>
      <x:c r="L35" t="n">
        <x:v>1595</x:v>
      </x:c>
    </x:row>
    <x:row r="36">
      <x:c r="A36" t="n">
        <x:v>3</x:v>
      </x:c>
      <x:c r="B36" t="n">
        <x:v>25</x:v>
      </x:c>
      <x:c r="C36" t="str">
        <x:v>A</x:v>
      </x:c>
      <x:c r="D36" s="42" t="n">
        <x:v>1034</x:v>
      </x:c>
      <x:c r="E36" s="44"/>
      <x:c r="F36" s="44"/>
      <x:c r="G36" s="44"/>
      <x:c r="H36" s="42" t="str">
        <x:f>IF(COUNT(E36:G36)=0,"",E36+IF(F36="",0,F36)-IF(G36="",0,G36))</x:f>
      </x:c>
      <x:c r="I36" s="42" t="str">
        <x:f>IF(H36="","",MAX(0,L36-H36))</x:f>
      </x:c>
      <x:c r="J36" t="str">
        <x:f>IF(H36="","UNKNOWN - inventory not entered",IF(H36&lt;=D36,"REORDER NOW",IF(H36&lt;=1.2*D36,"WATCH","OK")))</x:f>
        <x:v>UNKNOWN - inventory not entered</x:v>
      </x:c>
      <x:c r="K36" t="str">
        <x:v>High</x:v>
      </x:c>
      <x:c r="L36" t="n">
        <x:v>1568</x:v>
      </x:c>
    </x:row>
    <x:row r="37">
      <x:c r="A37" t="n">
        <x:v>10</x:v>
      </x:c>
      <x:c r="B37" t="n">
        <x:v>45</x:v>
      </x:c>
      <x:c r="C37" t="str">
        <x:v>A</x:v>
      </x:c>
      <x:c r="D37" s="42" t="n">
        <x:v>1098</x:v>
      </x:c>
      <x:c r="E37" s="44"/>
      <x:c r="F37" s="44"/>
      <x:c r="G37" s="44"/>
      <x:c r="H37" s="42" t="str">
        <x:f>IF(COUNT(E37:G37)=0,"",E37+IF(F37="",0,F37)-IF(G37="",0,G37))</x:f>
      </x:c>
      <x:c r="I37" s="42" t="str">
        <x:f>IF(H37="","",MAX(0,L37-H37))</x:f>
      </x:c>
      <x:c r="J37" t="str">
        <x:f>IF(H37="","UNKNOWN - inventory not entered",IF(H37&lt;=D37,"REORDER NOW",IF(H37&lt;=1.2*D37,"WATCH","OK")))</x:f>
        <x:v>UNKNOWN - inventory not entered</x:v>
      </x:c>
      <x:c r="K37" t="str">
        <x:v>High</x:v>
      </x:c>
      <x:c r="L37" t="n">
        <x:v>1583</x:v>
      </x:c>
    </x:row>
    <x:row r="38">
      <x:c r="A38" t="n">
        <x:v>9</x:v>
      </x:c>
      <x:c r="B38" t="n">
        <x:v>15</x:v>
      </x:c>
      <x:c r="C38" t="str">
        <x:v>A</x:v>
      </x:c>
      <x:c r="D38" s="42" t="n">
        <x:v>1169</x:v>
      </x:c>
      <x:c r="E38" s="44"/>
      <x:c r="F38" s="44"/>
      <x:c r="G38" s="44"/>
      <x:c r="H38" s="42" t="str">
        <x:f>IF(COUNT(E38:G38)=0,"",E38+IF(F38="",0,F38)-IF(G38="",0,G38))</x:f>
      </x:c>
      <x:c r="I38" s="42" t="str">
        <x:f>IF(H38="","",MAX(0,L38-H38))</x:f>
      </x:c>
      <x:c r="J38" t="str">
        <x:f>IF(H38="","UNKNOWN - inventory not entered",IF(H38&lt;=D38,"REORDER NOW",IF(H38&lt;=1.2*D38,"WATCH","OK")))</x:f>
        <x:v>UNKNOWN - inventory not entered</x:v>
      </x:c>
      <x:c r="K38" t="str">
        <x:v>High</x:v>
      </x:c>
      <x:c r="L38" t="n">
        <x:v>1681</x:v>
      </x:c>
    </x:row>
    <x:row r="39">
      <x:c r="A39" t="n">
        <x:v>3</x:v>
      </x:c>
      <x:c r="B39" t="n">
        <x:v>38</x:v>
      </x:c>
      <x:c r="C39" t="str">
        <x:v>A</x:v>
      </x:c>
      <x:c r="D39" s="42" t="n">
        <x:v>1101</x:v>
      </x:c>
      <x:c r="E39" s="44"/>
      <x:c r="F39" s="44"/>
      <x:c r="G39" s="44"/>
      <x:c r="H39" s="42" t="str">
        <x:f>IF(COUNT(E39:G39)=0,"",E39+IF(F39="",0,F39)-IF(G39="",0,G39))</x:f>
      </x:c>
      <x:c r="I39" s="42" t="str">
        <x:f>IF(H39="","",MAX(0,L39-H39))</x:f>
      </x:c>
      <x:c r="J39" t="str">
        <x:f>IF(H39="","UNKNOWN - inventory not entered",IF(H39&lt;=D39,"REORDER NOW",IF(H39&lt;=1.2*D39,"WATCH","OK")))</x:f>
        <x:v>UNKNOWN - inventory not entered</x:v>
      </x:c>
      <x:c r="K39" t="str">
        <x:v>High</x:v>
      </x:c>
      <x:c r="L39" t="n">
        <x:v>1642</x:v>
      </x:c>
    </x:row>
    <x:row r="40">
      <x:c r="A40" t="n">
        <x:v>3</x:v>
      </x:c>
      <x:c r="B40" t="n">
        <x:v>22</x:v>
      </x:c>
      <x:c r="C40" t="str">
        <x:v>A</x:v>
      </x:c>
      <x:c r="D40" s="42" t="n">
        <x:v>1088</x:v>
      </x:c>
      <x:c r="E40" s="44"/>
      <x:c r="F40" s="44"/>
      <x:c r="G40" s="44"/>
      <x:c r="H40" s="42" t="str">
        <x:f>IF(COUNT(E40:G40)=0,"",E40+IF(F40="",0,F40)-IF(G40="",0,G40))</x:f>
      </x:c>
      <x:c r="I40" s="42" t="str">
        <x:f>IF(H40="","",MAX(0,L40-H40))</x:f>
      </x:c>
      <x:c r="J40" t="str">
        <x:f>IF(H40="","UNKNOWN - inventory not entered",IF(H40&lt;=D40,"REORDER NOW",IF(H40&lt;=1.2*D40,"WATCH","OK")))</x:f>
        <x:v>UNKNOWN - inventory not entered</x:v>
      </x:c>
      <x:c r="K40" t="str">
        <x:v>High</x:v>
      </x:c>
      <x:c r="L40" t="n">
        <x:v>1618</x:v>
      </x:c>
    </x:row>
    <x:row r="41">
      <x:c r="A41" t="n">
        <x:v>4</x:v>
      </x:c>
      <x:c r="B41" t="n">
        <x:v>28</x:v>
      </x:c>
      <x:c r="C41" t="str">
        <x:v>A</x:v>
      </x:c>
      <x:c r="D41" s="42" t="n">
        <x:v>1115</x:v>
      </x:c>
      <x:c r="E41" s="44"/>
      <x:c r="F41" s="44"/>
      <x:c r="G41" s="44"/>
      <x:c r="H41" s="42" t="str">
        <x:f>IF(COUNT(E41:G41)=0,"",E41+IF(F41="",0,F41)-IF(G41="",0,G41))</x:f>
      </x:c>
      <x:c r="I41" s="42" t="str">
        <x:f>IF(H41="","",MAX(0,L41-H41))</x:f>
      </x:c>
      <x:c r="J41" t="str">
        <x:f>IF(H41="","UNKNOWN - inventory not entered",IF(H41&lt;=D41,"REORDER NOW",IF(H41&lt;=1.2*D41,"WATCH","OK")))</x:f>
        <x:v>UNKNOWN - inventory not entered</x:v>
      </x:c>
      <x:c r="K41" t="str">
        <x:v>High</x:v>
      </x:c>
      <x:c r="L41" t="n">
        <x:v>1619</x:v>
      </x:c>
    </x:row>
    <x:row r="42">
      <x:c r="A42" t="n">
        <x:v>3</x:v>
      </x:c>
      <x:c r="B42" t="n">
        <x:v>45</x:v>
      </x:c>
      <x:c r="C42" t="str">
        <x:v>A</x:v>
      </x:c>
      <x:c r="D42" s="42" t="n">
        <x:v>1050</x:v>
      </x:c>
      <x:c r="E42" s="44"/>
      <x:c r="F42" s="44"/>
      <x:c r="G42" s="44"/>
      <x:c r="H42" s="42" t="str">
        <x:f>IF(COUNT(E42:G42)=0,"",E42+IF(F42="",0,F42)-IF(G42="",0,G42))</x:f>
      </x:c>
      <x:c r="I42" s="42" t="str">
        <x:f>IF(H42="","",MAX(0,L42-H42))</x:f>
      </x:c>
      <x:c r="J42" t="str">
        <x:f>IF(H42="","UNKNOWN - inventory not entered",IF(H42&lt;=D42,"REORDER NOW",IF(H42&lt;=1.2*D42,"WATCH","OK")))</x:f>
        <x:v>UNKNOWN - inventory not entered</x:v>
      </x:c>
      <x:c r="K42" t="str">
        <x:v>High</x:v>
      </x:c>
      <x:c r="L42" t="n">
        <x:v>1556</x:v>
      </x:c>
    </x:row>
    <x:row r="43">
      <x:c r="A43" t="n">
        <x:v>10</x:v>
      </x:c>
      <x:c r="B43" t="n">
        <x:v>22</x:v>
      </x:c>
      <x:c r="C43" t="str">
        <x:v>A</x:v>
      </x:c>
      <x:c r="D43" s="42" t="n">
        <x:v>1120</x:v>
      </x:c>
      <x:c r="E43" s="44"/>
      <x:c r="F43" s="44"/>
      <x:c r="G43" s="44"/>
      <x:c r="H43" s="42" t="str">
        <x:f>IF(COUNT(E43:G43)=0,"",E43+IF(F43="",0,F43)-IF(G43="",0,G43))</x:f>
      </x:c>
      <x:c r="I43" s="42" t="str">
        <x:f>IF(H43="","",MAX(0,L43-H43))</x:f>
      </x:c>
      <x:c r="J43" t="str">
        <x:f>IF(H43="","UNKNOWN - inventory not entered",IF(H43&lt;=D43,"REORDER NOW",IF(H43&lt;=1.2*D43,"WATCH","OK")))</x:f>
        <x:v>UNKNOWN - inventory not entered</x:v>
      </x:c>
      <x:c r="K43" t="str">
        <x:v>High</x:v>
      </x:c>
      <x:c r="L43" t="n">
        <x:v>1583</x:v>
      </x:c>
    </x:row>
    <x:row r="44">
      <x:c r="A44" t="n">
        <x:v>8</x:v>
      </x:c>
      <x:c r="B44" t="n">
        <x:v>10</x:v>
      </x:c>
      <x:c r="C44" t="str">
        <x:v>A</x:v>
      </x:c>
      <x:c r="D44" s="42" t="n">
        <x:v>1052</x:v>
      </x:c>
      <x:c r="E44" s="44"/>
      <x:c r="F44" s="44"/>
      <x:c r="G44" s="44"/>
      <x:c r="H44" s="42" t="str">
        <x:f>IF(COUNT(E44:G44)=0,"",E44+IF(F44="",0,F44)-IF(G44="",0,G44))</x:f>
      </x:c>
      <x:c r="I44" s="42" t="str">
        <x:f>IF(H44="","",MAX(0,L44-H44))</x:f>
      </x:c>
      <x:c r="J44" t="str">
        <x:f>IF(H44="","UNKNOWN - inventory not entered",IF(H44&lt;=D44,"REORDER NOW",IF(H44&lt;=1.2*D44,"WATCH","OK")))</x:f>
        <x:v>UNKNOWN - inventory not entered</x:v>
      </x:c>
      <x:c r="K44" t="str">
        <x:v>High</x:v>
      </x:c>
      <x:c r="L44" t="n">
        <x:v>1559</x:v>
      </x:c>
    </x:row>
    <x:row r="45">
      <x:c r="A45" t="n">
        <x:v>2</x:v>
      </x:c>
      <x:c r="B45" t="n">
        <x:v>29</x:v>
      </x:c>
      <x:c r="C45" t="str">
        <x:v>A</x:v>
      </x:c>
      <x:c r="D45" s="42" t="n">
        <x:v>1045</x:v>
      </x:c>
      <x:c r="E45" s="44"/>
      <x:c r="F45" s="44"/>
      <x:c r="G45" s="44"/>
      <x:c r="H45" s="42" t="str">
        <x:f>IF(COUNT(E45:G45)=0,"",E45+IF(F45="",0,F45)-IF(G45="",0,G45))</x:f>
      </x:c>
      <x:c r="I45" s="42" t="str">
        <x:f>IF(H45="","",MAX(0,L45-H45))</x:f>
      </x:c>
      <x:c r="J45" t="str">
        <x:f>IF(H45="","UNKNOWN - inventory not entered",IF(H45&lt;=D45,"REORDER NOW",IF(H45&lt;=1.2*D45,"WATCH","OK")))</x:f>
        <x:v>UNKNOWN - inventory not entered</x:v>
      </x:c>
      <x:c r="K45" t="str">
        <x:v>High</x:v>
      </x:c>
      <x:c r="L45" t="n">
        <x:v>1573</x:v>
      </x:c>
    </x:row>
    <x:row r="46">
      <x:c r="A46" t="n">
        <x:v>10</x:v>
      </x:c>
      <x:c r="B46" t="n">
        <x:v>38</x:v>
      </x:c>
      <x:c r="C46" t="str">
        <x:v>A</x:v>
      </x:c>
      <x:c r="D46" s="42" t="n">
        <x:v>1035</x:v>
      </x:c>
      <x:c r="E46" s="44"/>
      <x:c r="F46" s="44"/>
      <x:c r="G46" s="44"/>
      <x:c r="H46" s="42" t="str">
        <x:f>IF(COUNT(E46:G46)=0,"",E46+IF(F46="",0,F46)-IF(G46="",0,G46))</x:f>
      </x:c>
      <x:c r="I46" s="42" t="str">
        <x:f>IF(H46="","",MAX(0,L46-H46))</x:f>
      </x:c>
      <x:c r="J46" t="str">
        <x:f>IF(H46="","UNKNOWN - inventory not entered",IF(H46&lt;=D46,"REORDER NOW",IF(H46&lt;=1.2*D46,"WATCH","OK")))</x:f>
        <x:v>UNKNOWN - inventory not entered</x:v>
      </x:c>
      <x:c r="K46" t="str">
        <x:v>High</x:v>
      </x:c>
      <x:c r="L46" t="n">
        <x:v>1581</x:v>
      </x:c>
    </x:row>
    <x:row r="47">
      <x:c r="A47" t="n">
        <x:v>9</x:v>
      </x:c>
      <x:c r="B47" t="n">
        <x:v>13</x:v>
      </x:c>
      <x:c r="C47" t="str">
        <x:v>A</x:v>
      </x:c>
      <x:c r="D47" s="42" t="n">
        <x:v>1079</x:v>
      </x:c>
      <x:c r="E47" s="44"/>
      <x:c r="F47" s="44"/>
      <x:c r="G47" s="44"/>
      <x:c r="H47" s="42" t="str">
        <x:f>IF(COUNT(E47:G47)=0,"",E47+IF(F47="",0,F47)-IF(G47="",0,G47))</x:f>
      </x:c>
      <x:c r="I47" s="42" t="str">
        <x:f>IF(H47="","",MAX(0,L47-H47))</x:f>
      </x:c>
      <x:c r="J47" t="str">
        <x:f>IF(H47="","UNKNOWN - inventory not entered",IF(H47&lt;=D47,"REORDER NOW",IF(H47&lt;=1.2*D47,"WATCH","OK")))</x:f>
        <x:v>UNKNOWN - inventory not entered</x:v>
      </x:c>
      <x:c r="K47" t="str">
        <x:v>High</x:v>
      </x:c>
      <x:c r="L47" t="n">
        <x:v>1574</x:v>
      </x:c>
    </x:row>
    <x:row r="48">
      <x:c r="A48" t="n">
        <x:v>10</x:v>
      </x:c>
      <x:c r="B48" t="n">
        <x:v>25</x:v>
      </x:c>
      <x:c r="C48" t="str">
        <x:v>A</x:v>
      </x:c>
      <x:c r="D48" s="42" t="n">
        <x:v>1054</x:v>
      </x:c>
      <x:c r="E48" s="44"/>
      <x:c r="F48" s="44"/>
      <x:c r="G48" s="44"/>
      <x:c r="H48" s="42" t="str">
        <x:f>IF(COUNT(E48:G48)=0,"",E48+IF(F48="",0,F48)-IF(G48="",0,G48))</x:f>
      </x:c>
      <x:c r="I48" s="42" t="str">
        <x:f>IF(H48="","",MAX(0,L48-H48))</x:f>
      </x:c>
      <x:c r="J48" t="str">
        <x:f>IF(H48="","UNKNOWN - inventory not entered",IF(H48&lt;=D48,"REORDER NOW",IF(H48&lt;=1.2*D48,"WATCH","OK")))</x:f>
        <x:v>UNKNOWN - inventory not entered</x:v>
      </x:c>
      <x:c r="K48" t="str">
        <x:v>High</x:v>
      </x:c>
      <x:c r="L48" t="n">
        <x:v>1525</x:v>
      </x:c>
    </x:row>
    <x:row r="49">
      <x:c r="A49" t="n">
        <x:v>2</x:v>
      </x:c>
      <x:c r="B49" t="n">
        <x:v>11</x:v>
      </x:c>
      <x:c r="C49" t="str">
        <x:v>A</x:v>
      </x:c>
      <x:c r="D49" s="42" t="n">
        <x:v>1066</x:v>
      </x:c>
      <x:c r="E49" s="44"/>
      <x:c r="F49" s="44"/>
      <x:c r="G49" s="44"/>
      <x:c r="H49" s="42" t="str">
        <x:f>IF(COUNT(E49:G49)=0,"",E49+IF(F49="",0,F49)-IF(G49="",0,G49))</x:f>
      </x:c>
      <x:c r="I49" s="42" t="str">
        <x:f>IF(H49="","",MAX(0,L49-H49))</x:f>
      </x:c>
      <x:c r="J49" t="str">
        <x:f>IF(H49="","UNKNOWN - inventory not entered",IF(H49&lt;=D49,"REORDER NOW",IF(H49&lt;=1.2*D49,"WATCH","OK")))</x:f>
        <x:v>UNKNOWN - inventory not entered</x:v>
      </x:c>
      <x:c r="K49" t="str">
        <x:v>High</x:v>
      </x:c>
      <x:c r="L49" t="n">
        <x:v>1552</x:v>
      </x:c>
    </x:row>
    <x:row r="50">
      <x:c r="A50" t="n">
        <x:v>2</x:v>
      </x:c>
      <x:c r="B50" t="n">
        <x:v>12</x:v>
      </x:c>
      <x:c r="C50" t="str">
        <x:v>A</x:v>
      </x:c>
      <x:c r="D50" s="42" t="n">
        <x:v>1083</x:v>
      </x:c>
      <x:c r="E50" s="44"/>
      <x:c r="F50" s="44"/>
      <x:c r="G50" s="44"/>
      <x:c r="H50" s="42" t="str">
        <x:f>IF(COUNT(E50:G50)=0,"",E50+IF(F50="",0,F50)-IF(G50="",0,G50))</x:f>
      </x:c>
      <x:c r="I50" s="42" t="str">
        <x:f>IF(H50="","",MAX(0,L50-H50))</x:f>
      </x:c>
      <x:c r="J50" t="str">
        <x:f>IF(H50="","UNKNOWN - inventory not entered",IF(H50&lt;=D50,"REORDER NOW",IF(H50&lt;=1.2*D50,"WATCH","OK")))</x:f>
        <x:v>UNKNOWN - inventory not entered</x:v>
      </x:c>
      <x:c r="K50" t="str">
        <x:v>High</x:v>
      </x:c>
      <x:c r="L50" t="n">
        <x:v>1562</x:v>
      </x:c>
    </x:row>
    <x:row r="51">
      <x:c r="A51" t="n">
        <x:v>2</x:v>
      </x:c>
      <x:c r="B51" t="n">
        <x:v>33</x:v>
      </x:c>
      <x:c r="C51" t="str">
        <x:v>A</x:v>
      </x:c>
      <x:c r="D51" s="42" t="n">
        <x:v>1081</x:v>
      </x:c>
      <x:c r="E51" s="44"/>
      <x:c r="F51" s="44"/>
      <x:c r="G51" s="44"/>
      <x:c r="H51" s="42" t="str">
        <x:f>IF(COUNT(E51:G51)=0,"",E51+IF(F51="",0,F51)-IF(G51="",0,G51))</x:f>
      </x:c>
      <x:c r="I51" s="42" t="str">
        <x:f>IF(H51="","",MAX(0,L51-H51))</x:f>
      </x:c>
      <x:c r="J51" t="str">
        <x:f>IF(H51="","UNKNOWN - inventory not entered",IF(H51&lt;=D51,"REORDER NOW",IF(H51&lt;=1.2*D51,"WATCH","OK")))</x:f>
        <x:v>UNKNOWN - inventory not entered</x:v>
      </x:c>
      <x:c r="K51" t="str">
        <x:v>High</x:v>
      </x:c>
      <x:c r="L51" t="n">
        <x:v>1575</x:v>
      </x:c>
    </x:row>
    <x:row r="52">
      <x:c r="A52" t="n">
        <x:v>3</x:v>
      </x:c>
      <x:c r="B52" t="n">
        <x:v>36</x:v>
      </x:c>
      <x:c r="C52" t="str">
        <x:v>A</x:v>
      </x:c>
      <x:c r="D52" s="42" t="n">
        <x:v>1074</x:v>
      </x:c>
      <x:c r="E52" s="44"/>
      <x:c r="F52" s="44"/>
      <x:c r="G52" s="44"/>
      <x:c r="H52" s="42" t="str">
        <x:f>IF(COUNT(E52:G52)=0,"",E52+IF(F52="",0,F52)-IF(G52="",0,G52))</x:f>
      </x:c>
      <x:c r="I52" s="42" t="str">
        <x:f>IF(H52="","",MAX(0,L52-H52))</x:f>
      </x:c>
      <x:c r="J52" t="str">
        <x:f>IF(H52="","UNKNOWN - inventory not entered",IF(H52&lt;=D52,"REORDER NOW",IF(H52&lt;=1.2*D52,"WATCH","OK")))</x:f>
        <x:v>UNKNOWN - inventory not entered</x:v>
      </x:c>
      <x:c r="K52" t="str">
        <x:v>High</x:v>
      </x:c>
      <x:c r="L52" t="n">
        <x:v>1592</x:v>
      </x:c>
    </x:row>
    <x:row r="53">
      <x:c r="A53" t="n">
        <x:v>9</x:v>
      </x:c>
      <x:c r="B53" t="n">
        <x:v>18</x:v>
      </x:c>
      <x:c r="C53" t="str">
        <x:v>A</x:v>
      </x:c>
      <x:c r="D53" s="42" t="n">
        <x:v>1084</x:v>
      </x:c>
      <x:c r="E53" s="44"/>
      <x:c r="F53" s="44"/>
      <x:c r="G53" s="44"/>
      <x:c r="H53" s="42" t="str">
        <x:f>IF(COUNT(E53:G53)=0,"",E53+IF(F53="",0,F53)-IF(G53="",0,G53))</x:f>
      </x:c>
      <x:c r="I53" s="42" t="str">
        <x:f>IF(H53="","",MAX(0,L53-H53))</x:f>
      </x:c>
      <x:c r="J53" t="str">
        <x:f>IF(H53="","UNKNOWN - inventory not entered",IF(H53&lt;=D53,"REORDER NOW",IF(H53&lt;=1.2*D53,"WATCH","OK")))</x:f>
        <x:v>UNKNOWN - inventory not entered</x:v>
      </x:c>
      <x:c r="K53" t="str">
        <x:v>High</x:v>
      </x:c>
      <x:c r="L53" t="n">
        <x:v>1583</x:v>
      </x:c>
    </x:row>
    <x:row r="54">
      <x:c r="A54" t="n">
        <x:v>4</x:v>
      </x:c>
      <x:c r="B54" t="n">
        <x:v>18</x:v>
      </x:c>
      <x:c r="C54" t="str">
        <x:v>A</x:v>
      </x:c>
      <x:c r="D54" s="42" t="n">
        <x:v>1107</x:v>
      </x:c>
      <x:c r="E54" s="44"/>
      <x:c r="F54" s="44"/>
      <x:c r="G54" s="44"/>
      <x:c r="H54" s="42" t="str">
        <x:f>IF(COUNT(E54:G54)=0,"",E54+IF(F54="",0,F54)-IF(G54="",0,G54))</x:f>
      </x:c>
      <x:c r="I54" s="42" t="str">
        <x:f>IF(H54="","",MAX(0,L54-H54))</x:f>
      </x:c>
      <x:c r="J54" t="str">
        <x:f>IF(H54="","UNKNOWN - inventory not entered",IF(H54&lt;=D54,"REORDER NOW",IF(H54&lt;=1.2*D54,"WATCH","OK")))</x:f>
        <x:v>UNKNOWN - inventory not entered</x:v>
      </x:c>
      <x:c r="K54" t="str">
        <x:v>High</x:v>
      </x:c>
      <x:c r="L54" t="n">
        <x:v>1582</x:v>
      </x:c>
    </x:row>
    <x:row r="55">
      <x:c r="A55" t="n">
        <x:v>8</x:v>
      </x:c>
      <x:c r="B55" t="n">
        <x:v>33</x:v>
      </x:c>
      <x:c r="C55" t="str">
        <x:v>A</x:v>
      </x:c>
      <x:c r="D55" s="42" t="n">
        <x:v>1009</x:v>
      </x:c>
      <x:c r="E55" s="44"/>
      <x:c r="F55" s="44"/>
      <x:c r="G55" s="44"/>
      <x:c r="H55" s="42" t="str">
        <x:f>IF(COUNT(E55:G55)=0,"",E55+IF(F55="",0,F55)-IF(G55="",0,G55))</x:f>
      </x:c>
      <x:c r="I55" s="42" t="str">
        <x:f>IF(H55="","",MAX(0,L55-H55))</x:f>
      </x:c>
      <x:c r="J55" t="str">
        <x:f>IF(H55="","UNKNOWN - inventory not entered",IF(H55&lt;=D55,"REORDER NOW",IF(H55&lt;=1.2*D55,"WATCH","OK")))</x:f>
        <x:v>UNKNOWN - inventory not entered</x:v>
      </x:c>
      <x:c r="K55" t="str">
        <x:v>High</x:v>
      </x:c>
      <x:c r="L55" t="n">
        <x:v>1497</x:v>
      </x:c>
    </x:row>
    <x:row r="56">
      <x:c r="A56" t="n">
        <x:v>3</x:v>
      </x:c>
      <x:c r="B56" t="n">
        <x:v>8</x:v>
      </x:c>
      <x:c r="C56" t="str">
        <x:v>A</x:v>
      </x:c>
      <x:c r="D56" s="42" t="n">
        <x:v>1077</x:v>
      </x:c>
      <x:c r="E56" s="44"/>
      <x:c r="F56" s="44"/>
      <x:c r="G56" s="44"/>
      <x:c r="H56" s="42" t="str">
        <x:f>IF(COUNT(E56:G56)=0,"",E56+IF(F56="",0,F56)-IF(G56="",0,G56))</x:f>
      </x:c>
      <x:c r="I56" s="42" t="str">
        <x:f>IF(H56="","",MAX(0,L56-H56))</x:f>
      </x:c>
      <x:c r="J56" t="str">
        <x:f>IF(H56="","UNKNOWN - inventory not entered",IF(H56&lt;=D56,"REORDER NOW",IF(H56&lt;=1.2*D56,"WATCH","OK")))</x:f>
        <x:v>UNKNOWN - inventory not entered</x:v>
      </x:c>
      <x:c r="K56" t="str">
        <x:v>High</x:v>
      </x:c>
      <x:c r="L56" t="n">
        <x:v>1573</x:v>
      </x:c>
    </x:row>
    <x:row r="57">
      <x:c r="A57" t="n">
        <x:v>4</x:v>
      </x:c>
      <x:c r="B57" t="n">
        <x:v>13</x:v>
      </x:c>
      <x:c r="C57" t="str">
        <x:v>A</x:v>
      </x:c>
      <x:c r="D57" s="42" t="n">
        <x:v>1036</x:v>
      </x:c>
      <x:c r="E57" s="44"/>
      <x:c r="F57" s="44"/>
      <x:c r="G57" s="44"/>
      <x:c r="H57" s="42" t="str">
        <x:f>IF(COUNT(E57:G57)=0,"",E57+IF(F57="",0,F57)-IF(G57="",0,G57))</x:f>
      </x:c>
      <x:c r="I57" s="42" t="str">
        <x:f>IF(H57="","",MAX(0,L57-H57))</x:f>
      </x:c>
      <x:c r="J57" t="str">
        <x:f>IF(H57="","UNKNOWN - inventory not entered",IF(H57&lt;=D57,"REORDER NOW",IF(H57&lt;=1.2*D57,"WATCH","OK")))</x:f>
        <x:v>UNKNOWN - inventory not entered</x:v>
      </x:c>
      <x:c r="K57" t="str">
        <x:v>High</x:v>
      </x:c>
      <x:c r="L57" t="n">
        <x:v>1527</x:v>
      </x:c>
    </x:row>
    <x:row r="58">
      <x:c r="A58" t="n">
        <x:v>10</x:v>
      </x:c>
      <x:c r="B58" t="n">
        <x:v>36</x:v>
      </x:c>
      <x:c r="C58" t="str">
        <x:v>A</x:v>
      </x:c>
      <x:c r="D58" s="42" t="n">
        <x:v>1028</x:v>
      </x:c>
      <x:c r="E58" s="44"/>
      <x:c r="F58" s="44"/>
      <x:c r="G58" s="44"/>
      <x:c r="H58" s="42" t="str">
        <x:f>IF(COUNT(E58:G58)=0,"",E58+IF(F58="",0,F58)-IF(G58="",0,G58))</x:f>
      </x:c>
      <x:c r="I58" s="42" t="str">
        <x:f>IF(H58="","",MAX(0,L58-H58))</x:f>
      </x:c>
      <x:c r="J58" t="str">
        <x:f>IF(H58="","UNKNOWN - inventory not entered",IF(H58&lt;=D58,"REORDER NOW",IF(H58&lt;=1.2*D58,"WATCH","OK")))</x:f>
        <x:v>UNKNOWN - inventory not entered</x:v>
      </x:c>
      <x:c r="K58" t="str">
        <x:v>High</x:v>
      </x:c>
      <x:c r="L58" t="n">
        <x:v>1543</x:v>
      </x:c>
    </x:row>
    <x:row r="59">
      <x:c r="A59" t="n">
        <x:v>10</x:v>
      </x:c>
      <x:c r="B59" t="n">
        <x:v>8</x:v>
      </x:c>
      <x:c r="C59" t="str">
        <x:v>A</x:v>
      </x:c>
      <x:c r="D59" s="42" t="n">
        <x:v>1013</x:v>
      </x:c>
      <x:c r="E59" s="44"/>
      <x:c r="F59" s="44"/>
      <x:c r="G59" s="44"/>
      <x:c r="H59" s="42" t="str">
        <x:f>IF(COUNT(E59:G59)=0,"",E59+IF(F59="",0,F59)-IF(G59="",0,G59))</x:f>
      </x:c>
      <x:c r="I59" s="42" t="str">
        <x:f>IF(H59="","",MAX(0,L59-H59))</x:f>
      </x:c>
      <x:c r="J59" t="str">
        <x:f>IF(H59="","UNKNOWN - inventory not entered",IF(H59&lt;=D59,"REORDER NOW",IF(H59&lt;=1.2*D59,"WATCH","OK")))</x:f>
        <x:v>UNKNOWN - inventory not entered</x:v>
      </x:c>
      <x:c r="K59" t="str">
        <x:v>High</x:v>
      </x:c>
      <x:c r="L59" t="n">
        <x:v>1461</x:v>
      </x:c>
    </x:row>
    <x:row r="60">
      <x:c r="A60" t="n">
        <x:v>8</x:v>
      </x:c>
      <x:c r="B60" t="n">
        <x:v>11</x:v>
      </x:c>
      <x:c r="C60" t="str">
        <x:v>A</x:v>
      </x:c>
      <x:c r="D60" s="42" t="n">
        <x:v>988</x:v>
      </x:c>
      <x:c r="E60" s="44"/>
      <x:c r="F60" s="44"/>
      <x:c r="G60" s="44"/>
      <x:c r="H60" s="42" t="str">
        <x:f>IF(COUNT(E60:G60)=0,"",E60+IF(F60="",0,F60)-IF(G60="",0,G60))</x:f>
      </x:c>
      <x:c r="I60" s="42" t="str">
        <x:f>IF(H60="","",MAX(0,L60-H60))</x:f>
      </x:c>
      <x:c r="J60" t="str">
        <x:f>IF(H60="","UNKNOWN - inventory not entered",IF(H60&lt;=D60,"REORDER NOW",IF(H60&lt;=1.2*D60,"WATCH","OK")))</x:f>
        <x:v>UNKNOWN - inventory not entered</x:v>
      </x:c>
      <x:c r="K60" t="str">
        <x:v>High</x:v>
      </x:c>
      <x:c r="L60" t="n">
        <x:v>1474</x:v>
      </x:c>
    </x:row>
    <x:row r="61">
      <x:c r="A61" t="n">
        <x:v>2</x:v>
      </x:c>
      <x:c r="B61" t="n">
        <x:v>35</x:v>
      </x:c>
      <x:c r="C61" t="str">
        <x:v>A</x:v>
      </x:c>
      <x:c r="D61" s="42" t="n">
        <x:v>1006</x:v>
      </x:c>
      <x:c r="E61" s="44"/>
      <x:c r="F61" s="44"/>
      <x:c r="G61" s="44"/>
      <x:c r="H61" s="42" t="str">
        <x:f>IF(COUNT(E61:G61)=0,"",E61+IF(F61="",0,F61)-IF(G61="",0,G61))</x:f>
      </x:c>
      <x:c r="I61" s="42" t="str">
        <x:f>IF(H61="","",MAX(0,L61-H61))</x:f>
      </x:c>
      <x:c r="J61" t="str">
        <x:f>IF(H61="","UNKNOWN - inventory not entered",IF(H61&lt;=D61,"REORDER NOW",IF(H61&lt;=1.2*D61,"WATCH","OK")))</x:f>
        <x:v>UNKNOWN - inventory not entered</x:v>
      </x:c>
      <x:c r="K61" t="str">
        <x:v>High</x:v>
      </x:c>
      <x:c r="L61" t="n">
        <x:v>1458</x:v>
      </x:c>
    </x:row>
    <x:row r="62">
      <x:c r="A62" t="n">
        <x:v>4</x:v>
      </x:c>
      <x:c r="B62" t="n">
        <x:v>22</x:v>
      </x:c>
      <x:c r="C62" t="str">
        <x:v>A</x:v>
      </x:c>
      <x:c r="D62" s="42" t="n">
        <x:v>998</x:v>
      </x:c>
      <x:c r="E62" s="44"/>
      <x:c r="F62" s="44"/>
      <x:c r="G62" s="44"/>
      <x:c r="H62" s="42" t="str">
        <x:f>IF(COUNT(E62:G62)=0,"",E62+IF(F62="",0,F62)-IF(G62="",0,G62))</x:f>
      </x:c>
      <x:c r="I62" s="42" t="str">
        <x:f>IF(H62="","",MAX(0,L62-H62))</x:f>
      </x:c>
      <x:c r="J62" t="str">
        <x:f>IF(H62="","UNKNOWN - inventory not entered",IF(H62&lt;=D62,"REORDER NOW",IF(H62&lt;=1.2*D62,"WATCH","OK")))</x:f>
        <x:v>UNKNOWN - inventory not entered</x:v>
      </x:c>
      <x:c r="K62" t="str">
        <x:v>High</x:v>
      </x:c>
      <x:c r="L62" t="n">
        <x:v>1487</x:v>
      </x:c>
    </x:row>
    <x:row r="63">
      <x:c r="A63" t="n">
        <x:v>8</x:v>
      </x:c>
      <x:c r="B63" t="n">
        <x:v>12</x:v>
      </x:c>
      <x:c r="C63" t="str">
        <x:v>A</x:v>
      </x:c>
      <x:c r="D63" s="42" t="n">
        <x:v>994</x:v>
      </x:c>
      <x:c r="E63" s="44"/>
      <x:c r="F63" s="44"/>
      <x:c r="G63" s="44"/>
      <x:c r="H63" s="42" t="str">
        <x:f>IF(COUNT(E63:G63)=0,"",E63+IF(F63="",0,F63)-IF(G63="",0,G63))</x:f>
      </x:c>
      <x:c r="I63" s="42" t="str">
        <x:f>IF(H63="","",MAX(0,L63-H63))</x:f>
      </x:c>
      <x:c r="J63" t="str">
        <x:f>IF(H63="","UNKNOWN - inventory not entered",IF(H63&lt;=D63,"REORDER NOW",IF(H63&lt;=1.2*D63,"WATCH","OK")))</x:f>
        <x:v>UNKNOWN - inventory not entered</x:v>
      </x:c>
      <x:c r="K63" t="str">
        <x:v>High</x:v>
      </x:c>
      <x:c r="L63" t="n">
        <x:v>1447</x:v>
      </x:c>
    </x:row>
    <x:row r="64">
      <x:c r="A64" t="n">
        <x:v>9</x:v>
      </x:c>
      <x:c r="B64" t="n">
        <x:v>45</x:v>
      </x:c>
      <x:c r="C64" t="str">
        <x:v>A</x:v>
      </x:c>
      <x:c r="D64" s="42" t="n">
        <x:v>1010</x:v>
      </x:c>
      <x:c r="E64" s="44"/>
      <x:c r="F64" s="44"/>
      <x:c r="G64" s="44"/>
      <x:c r="H64" s="42" t="str">
        <x:f>IF(COUNT(E64:G64)=0,"",E64+IF(F64="",0,F64)-IF(G64="",0,G64))</x:f>
      </x:c>
      <x:c r="I64" s="42" t="str">
        <x:f>IF(H64="","",MAX(0,L64-H64))</x:f>
      </x:c>
      <x:c r="J64" t="str">
        <x:f>IF(H64="","UNKNOWN - inventory not entered",IF(H64&lt;=D64,"REORDER NOW",IF(H64&lt;=1.2*D64,"WATCH","OK")))</x:f>
        <x:v>UNKNOWN - inventory not entered</x:v>
      </x:c>
      <x:c r="K64" t="str">
        <x:v>High</x:v>
      </x:c>
      <x:c r="L64" t="n">
        <x:v>1510</x:v>
      </x:c>
    </x:row>
    <x:row r="65">
      <x:c r="A65" t="n">
        <x:v>3</x:v>
      </x:c>
      <x:c r="B65" t="n">
        <x:v>10</x:v>
      </x:c>
      <x:c r="C65" t="str">
        <x:v>A</x:v>
      </x:c>
      <x:c r="D65" s="42" t="n">
        <x:v>1014</x:v>
      </x:c>
      <x:c r="E65" s="44"/>
      <x:c r="F65" s="44"/>
      <x:c r="G65" s="44"/>
      <x:c r="H65" s="42" t="str">
        <x:f>IF(COUNT(E65:G65)=0,"",E65+IF(F65="",0,F65)-IF(G65="",0,G65))</x:f>
      </x:c>
      <x:c r="I65" s="42" t="str">
        <x:f>IF(H65="","",MAX(0,L65-H65))</x:f>
      </x:c>
      <x:c r="J65" t="str">
        <x:f>IF(H65="","UNKNOWN - inventory not entered",IF(H65&lt;=D65,"REORDER NOW",IF(H65&lt;=1.2*D65,"WATCH","OK")))</x:f>
        <x:v>UNKNOWN - inventory not entered</x:v>
      </x:c>
      <x:c r="K65" t="str">
        <x:v>High</x:v>
      </x:c>
      <x:c r="L65" t="n">
        <x:v>1516</x:v>
      </x:c>
    </x:row>
    <x:row r="66">
      <x:c r="A66" t="n">
        <x:v>4</x:v>
      </x:c>
      <x:c r="B66" t="n">
        <x:v>38</x:v>
      </x:c>
      <x:c r="C66" t="str">
        <x:v>A</x:v>
      </x:c>
      <x:c r="D66" s="42" t="n">
        <x:v>1028</x:v>
      </x:c>
      <x:c r="E66" s="44"/>
      <x:c r="F66" s="44"/>
      <x:c r="G66" s="44"/>
      <x:c r="H66" s="42" t="str">
        <x:f>IF(COUNT(E66:G66)=0,"",E66+IF(F66="",0,F66)-IF(G66="",0,G66))</x:f>
      </x:c>
      <x:c r="I66" s="42" t="str">
        <x:f>IF(H66="","",MAX(0,L66-H66))</x:f>
      </x:c>
      <x:c r="J66" t="str">
        <x:f>IF(H66="","UNKNOWN - inventory not entered",IF(H66&lt;=D66,"REORDER NOW",IF(H66&lt;=1.2*D66,"WATCH","OK")))</x:f>
        <x:v>UNKNOWN - inventory not entered</x:v>
      </x:c>
      <x:c r="K66" t="str">
        <x:v>High</x:v>
      </x:c>
      <x:c r="L66" t="n">
        <x:v>1521</x:v>
      </x:c>
    </x:row>
    <x:row r="67">
      <x:c r="A67" t="n">
        <x:v>9</x:v>
      </x:c>
      <x:c r="B67" t="n">
        <x:v>22</x:v>
      </x:c>
      <x:c r="C67" t="str">
        <x:v>A</x:v>
      </x:c>
      <x:c r="D67" s="42" t="n">
        <x:v>1035</x:v>
      </x:c>
      <x:c r="E67" s="44"/>
      <x:c r="F67" s="44"/>
      <x:c r="G67" s="44"/>
      <x:c r="H67" s="42" t="str">
        <x:f>IF(COUNT(E67:G67)=0,"",E67+IF(F67="",0,F67)-IF(G67="",0,G67))</x:f>
      </x:c>
      <x:c r="I67" s="42" t="str">
        <x:f>IF(H67="","",MAX(0,L67-H67))</x:f>
      </x:c>
      <x:c r="J67" t="str">
        <x:f>IF(H67="","UNKNOWN - inventory not entered",IF(H67&lt;=D67,"REORDER NOW",IF(H67&lt;=1.2*D67,"WATCH","OK")))</x:f>
        <x:v>UNKNOWN - inventory not entered</x:v>
      </x:c>
      <x:c r="K67" t="str">
        <x:v>High</x:v>
      </x:c>
      <x:c r="L67" t="n">
        <x:v>1513</x:v>
      </x:c>
    </x:row>
    <x:row r="68">
      <x:c r="A68" t="n">
        <x:v>9</x:v>
      </x:c>
      <x:c r="B68" t="n">
        <x:v>38</x:v>
      </x:c>
      <x:c r="C68" t="str">
        <x:v>A</x:v>
      </x:c>
      <x:c r="D68" s="42" t="n">
        <x:v>981</x:v>
      </x:c>
      <x:c r="E68" s="44"/>
      <x:c r="F68" s="44"/>
      <x:c r="G68" s="44"/>
      <x:c r="H68" s="42" t="str">
        <x:f>IF(COUNT(E68:G68)=0,"",E68+IF(F68="",0,F68)-IF(G68="",0,G68))</x:f>
      </x:c>
      <x:c r="I68" s="42" t="str">
        <x:f>IF(H68="","",MAX(0,L68-H68))</x:f>
      </x:c>
      <x:c r="J68" t="str">
        <x:f>IF(H68="","UNKNOWN - inventory not entered",IF(H68&lt;=D68,"REORDER NOW",IF(H68&lt;=1.2*D68,"WATCH","OK")))</x:f>
        <x:v>UNKNOWN - inventory not entered</x:v>
      </x:c>
      <x:c r="K68" t="str">
        <x:v>High</x:v>
      </x:c>
      <x:c r="L68" t="n">
        <x:v>1459</x:v>
      </x:c>
    </x:row>
    <x:row r="69">
      <x:c r="A69" t="n">
        <x:v>4</x:v>
      </x:c>
      <x:c r="B69" t="n">
        <x:v>45</x:v>
      </x:c>
      <x:c r="C69" t="str">
        <x:v>A</x:v>
      </x:c>
      <x:c r="D69" s="42" t="n">
        <x:v>997</x:v>
      </x:c>
      <x:c r="E69" s="44"/>
      <x:c r="F69" s="44"/>
      <x:c r="G69" s="44"/>
      <x:c r="H69" s="42" t="str">
        <x:f>IF(COUNT(E69:G69)=0,"",E69+IF(F69="",0,F69)-IF(G69="",0,G69))</x:f>
      </x:c>
      <x:c r="I69" s="42" t="str">
        <x:f>IF(H69="","",MAX(0,L69-H69))</x:f>
      </x:c>
      <x:c r="J69" t="str">
        <x:f>IF(H69="","UNKNOWN - inventory not entered",IF(H69&lt;=D69,"REORDER NOW",IF(H69&lt;=1.2*D69,"WATCH","OK")))</x:f>
        <x:v>UNKNOWN - inventory not entered</x:v>
      </x:c>
      <x:c r="K69" t="str">
        <x:v>High</x:v>
      </x:c>
      <x:c r="L69" t="n">
        <x:v>1501</x:v>
      </x:c>
    </x:row>
    <x:row r="70">
      <x:c r="A70" t="n">
        <x:v>2</x:v>
      </x:c>
      <x:c r="B70" t="n">
        <x:v>24</x:v>
      </x:c>
      <x:c r="C70" t="str">
        <x:v>A</x:v>
      </x:c>
      <x:c r="D70" s="42" t="n">
        <x:v>964</x:v>
      </x:c>
      <x:c r="E70" s="44"/>
      <x:c r="F70" s="44"/>
      <x:c r="G70" s="44"/>
      <x:c r="H70" s="42" t="str">
        <x:f>IF(COUNT(E70:G70)=0,"",E70+IF(F70="",0,F70)-IF(G70="",0,G70))</x:f>
      </x:c>
      <x:c r="I70" s="42" t="str">
        <x:f>IF(H70="","",MAX(0,L70-H70))</x:f>
      </x:c>
      <x:c r="J70" t="str">
        <x:f>IF(H70="","UNKNOWN - inventory not entered",IF(H70&lt;=D70,"REORDER NOW",IF(H70&lt;=1.2*D70,"WATCH","OK")))</x:f>
        <x:v>UNKNOWN - inventory not entered</x:v>
      </x:c>
      <x:c r="K70" t="str">
        <x:v>High</x:v>
      </x:c>
      <x:c r="L70" t="n">
        <x:v>1410</x:v>
      </x:c>
    </x:row>
    <x:row r="71">
      <x:c r="A71" t="n">
        <x:v>8</x:v>
      </x:c>
      <x:c r="B71" t="n">
        <x:v>29</x:v>
      </x:c>
      <x:c r="C71" t="str">
        <x:v>A</x:v>
      </x:c>
      <x:c r="D71" s="42" t="n">
        <x:v>987</x:v>
      </x:c>
      <x:c r="E71" s="44"/>
      <x:c r="F71" s="44"/>
      <x:c r="G71" s="44"/>
      <x:c r="H71" s="42" t="str">
        <x:f>IF(COUNT(E71:G71)=0,"",E71+IF(F71="",0,F71)-IF(G71="",0,G71))</x:f>
      </x:c>
      <x:c r="I71" s="42" t="str">
        <x:f>IF(H71="","",MAX(0,L71-H71))</x:f>
      </x:c>
      <x:c r="J71" t="str">
        <x:f>IF(H71="","UNKNOWN - inventory not entered",IF(H71&lt;=D71,"REORDER NOW",IF(H71&lt;=1.2*D71,"WATCH","OK")))</x:f>
        <x:v>UNKNOWN - inventory not entered</x:v>
      </x:c>
      <x:c r="K71" t="str">
        <x:v>High</x:v>
      </x:c>
      <x:c r="L71" t="n">
        <x:v>1439</x:v>
      </x:c>
    </x:row>
    <x:row r="72">
      <x:c r="A72" t="n">
        <x:v>2</x:v>
      </x:c>
      <x:c r="B72" t="n">
        <x:v>50</x:v>
      </x:c>
      <x:c r="C72" t="str">
        <x:v>A</x:v>
      </x:c>
      <x:c r="D72" s="42" t="n">
        <x:v>975</x:v>
      </x:c>
      <x:c r="E72" s="44"/>
      <x:c r="F72" s="44"/>
      <x:c r="G72" s="44"/>
      <x:c r="H72" s="42" t="str">
        <x:f>IF(COUNT(E72:G72)=0,"",E72+IF(F72="",0,F72)-IF(G72="",0,G72))</x:f>
      </x:c>
      <x:c r="I72" s="42" t="str">
        <x:f>IF(H72="","",MAX(0,L72-H72))</x:f>
      </x:c>
      <x:c r="J72" t="str">
        <x:f>IF(H72="","UNKNOWN - inventory not entered",IF(H72&lt;=D72,"REORDER NOW",IF(H72&lt;=1.2*D72,"WATCH","OK")))</x:f>
        <x:v>UNKNOWN - inventory not entered</x:v>
      </x:c>
      <x:c r="K72" t="str">
        <x:v>High</x:v>
      </x:c>
      <x:c r="L72" t="n">
        <x:v>1437</x:v>
      </x:c>
    </x:row>
    <x:row r="73">
      <x:c r="A73" t="n">
        <x:v>9</x:v>
      </x:c>
      <x:c r="B73" t="n">
        <x:v>25</x:v>
      </x:c>
      <x:c r="C73" t="str">
        <x:v>A</x:v>
      </x:c>
      <x:c r="D73" s="42" t="n">
        <x:v>1027</x:v>
      </x:c>
      <x:c r="E73" s="44"/>
      <x:c r="F73" s="44"/>
      <x:c r="G73" s="44"/>
      <x:c r="H73" s="42" t="str">
        <x:f>IF(COUNT(E73:G73)=0,"",E73+IF(F73="",0,F73)-IF(G73="",0,G73))</x:f>
      </x:c>
      <x:c r="I73" s="42" t="str">
        <x:f>IF(H73="","",MAX(0,L73-H73))</x:f>
      </x:c>
      <x:c r="J73" t="str">
        <x:f>IF(H73="","UNKNOWN - inventory not entered",IF(H73&lt;=D73,"REORDER NOW",IF(H73&lt;=1.2*D73,"WATCH","OK")))</x:f>
        <x:v>UNKNOWN - inventory not entered</x:v>
      </x:c>
      <x:c r="K73" t="str">
        <x:v>High</x:v>
      </x:c>
      <x:c r="L73" t="n">
        <x:v>1513</x:v>
      </x:c>
    </x:row>
    <x:row r="74">
      <x:c r="A74" t="n">
        <x:v>4</x:v>
      </x:c>
      <x:c r="B74" t="n">
        <x:v>25</x:v>
      </x:c>
      <x:c r="C74" t="str">
        <x:v>A</x:v>
      </x:c>
      <x:c r="D74" s="42" t="n">
        <x:v>973</x:v>
      </x:c>
      <x:c r="E74" s="44"/>
      <x:c r="F74" s="44"/>
      <x:c r="G74" s="44"/>
      <x:c r="H74" s="42" t="str">
        <x:f>IF(COUNT(E74:G74)=0,"",E74+IF(F74="",0,F74)-IF(G74="",0,G74))</x:f>
      </x:c>
      <x:c r="I74" s="42" t="str">
        <x:f>IF(H74="","",MAX(0,L74-H74))</x:f>
      </x:c>
      <x:c r="J74" t="str">
        <x:f>IF(H74="","UNKNOWN - inventory not entered",IF(H74&lt;=D74,"REORDER NOW",IF(H74&lt;=1.2*D74,"WATCH","OK")))</x:f>
        <x:v>UNKNOWN - inventory not entered</x:v>
      </x:c>
      <x:c r="K74" t="str">
        <x:v>High</x:v>
      </x:c>
      <x:c r="L74" t="n">
        <x:v>1433</x:v>
      </x:c>
    </x:row>
    <x:row r="75">
      <x:c r="A75" t="n">
        <x:v>8</x:v>
      </x:c>
      <x:c r="B75" t="n">
        <x:v>50</x:v>
      </x:c>
      <x:c r="C75" t="str">
        <x:v>A</x:v>
      </x:c>
      <x:c r="D75" s="42" t="n">
        <x:v>969</x:v>
      </x:c>
      <x:c r="E75" s="44"/>
      <x:c r="F75" s="44"/>
      <x:c r="G75" s="44"/>
      <x:c r="H75" s="42" t="str">
        <x:f>IF(COUNT(E75:G75)=0,"",E75+IF(F75="",0,F75)-IF(G75="",0,G75))</x:f>
      </x:c>
      <x:c r="I75" s="42" t="str">
        <x:f>IF(H75="","",MAX(0,L75-H75))</x:f>
      </x:c>
      <x:c r="J75" t="str">
        <x:f>IF(H75="","UNKNOWN - inventory not entered",IF(H75&lt;=D75,"REORDER NOW",IF(H75&lt;=1.2*D75,"WATCH","OK")))</x:f>
        <x:v>UNKNOWN - inventory not entered</x:v>
      </x:c>
      <x:c r="K75" t="str">
        <x:v>High</x:v>
      </x:c>
      <x:c r="L75" t="n">
        <x:v>1416</x:v>
      </x:c>
    </x:row>
    <x:row r="76">
      <x:c r="A76" t="n">
        <x:v>4</x:v>
      </x:c>
      <x:c r="B76" t="n">
        <x:v>36</x:v>
      </x:c>
      <x:c r="C76" t="str">
        <x:v>A</x:v>
      </x:c>
      <x:c r="D76" s="42" t="n">
        <x:v>970</x:v>
      </x:c>
      <x:c r="E76" s="44"/>
      <x:c r="F76" s="44"/>
      <x:c r="G76" s="44"/>
      <x:c r="H76" s="42" t="str">
        <x:f>IF(COUNT(E76:G76)=0,"",E76+IF(F76="",0,F76)-IF(G76="",0,G76))</x:f>
      </x:c>
      <x:c r="I76" s="42" t="str">
        <x:f>IF(H76="","",MAX(0,L76-H76))</x:f>
      </x:c>
      <x:c r="J76" t="str">
        <x:f>IF(H76="","UNKNOWN - inventory not entered",IF(H76&lt;=D76,"REORDER NOW",IF(H76&lt;=1.2*D76,"WATCH","OK")))</x:f>
        <x:v>UNKNOWN - inventory not entered</x:v>
      </x:c>
      <x:c r="K76" t="str">
        <x:v>High</x:v>
      </x:c>
      <x:c r="L76" t="n">
        <x:v>1470</x:v>
      </x:c>
    </x:row>
    <x:row r="77">
      <x:c r="A77" t="n">
        <x:v>10</x:v>
      </x:c>
      <x:c r="B77" t="n">
        <x:v>10</x:v>
      </x:c>
      <x:c r="C77" t="str">
        <x:v>A</x:v>
      </x:c>
      <x:c r="D77" s="42" t="n">
        <x:v>992</x:v>
      </x:c>
      <x:c r="E77" s="44"/>
      <x:c r="F77" s="44"/>
      <x:c r="G77" s="44"/>
      <x:c r="H77" s="42" t="str">
        <x:f>IF(COUNT(E77:G77)=0,"",E77+IF(F77="",0,F77)-IF(G77="",0,G77))</x:f>
      </x:c>
      <x:c r="I77" s="42" t="str">
        <x:f>IF(H77="","",MAX(0,L77-H77))</x:f>
      </x:c>
      <x:c r="J77" t="str">
        <x:f>IF(H77="","UNKNOWN - inventory not entered",IF(H77&lt;=D77,"REORDER NOW",IF(H77&lt;=1.2*D77,"WATCH","OK")))</x:f>
        <x:v>UNKNOWN - inventory not entered</x:v>
      </x:c>
      <x:c r="K77" t="str">
        <x:v>High</x:v>
      </x:c>
      <x:c r="L77" t="n">
        <x:v>1452</x:v>
      </x:c>
    </x:row>
    <x:row r="78">
      <x:c r="A78" t="n">
        <x:v>1</x:v>
      </x:c>
      <x:c r="B78" t="n">
        <x:v>15</x:v>
      </x:c>
      <x:c r="C78" t="str">
        <x:v>A</x:v>
      </x:c>
      <x:c r="D78" s="42" t="n">
        <x:v>1040</x:v>
      </x:c>
      <x:c r="E78" s="44"/>
      <x:c r="F78" s="44"/>
      <x:c r="G78" s="44"/>
      <x:c r="H78" s="42" t="str">
        <x:f>IF(COUNT(E78:G78)=0,"",E78+IF(F78="",0,F78)-IF(G78="",0,G78))</x:f>
      </x:c>
      <x:c r="I78" s="42" t="str">
        <x:f>IF(H78="","",MAX(0,L78-H78))</x:f>
      </x:c>
      <x:c r="J78" t="str">
        <x:f>IF(H78="","UNKNOWN - inventory not entered",IF(H78&lt;=D78,"REORDER NOW",IF(H78&lt;=1.2*D78,"WATCH","OK")))</x:f>
        <x:v>UNKNOWN - inventory not entered</x:v>
      </x:c>
      <x:c r="K78" t="str">
        <x:v>High</x:v>
      </x:c>
      <x:c r="L78" t="n">
        <x:v>1493</x:v>
      </x:c>
    </x:row>
    <x:row r="79">
      <x:c r="A79" t="n">
        <x:v>9</x:v>
      </x:c>
      <x:c r="B79" t="n">
        <x:v>36</x:v>
      </x:c>
      <x:c r="C79" t="str">
        <x:v>A</x:v>
      </x:c>
      <x:c r="D79" s="42" t="n">
        <x:v>966</x:v>
      </x:c>
      <x:c r="E79" s="44"/>
      <x:c r="F79" s="44"/>
      <x:c r="G79" s="44"/>
      <x:c r="H79" s="42" t="str">
        <x:f>IF(COUNT(E79:G79)=0,"",E79+IF(F79="",0,F79)-IF(G79="",0,G79))</x:f>
      </x:c>
      <x:c r="I79" s="42" t="str">
        <x:f>IF(H79="","",MAX(0,L79-H79))</x:f>
      </x:c>
      <x:c r="J79" t="str">
        <x:f>IF(H79="","UNKNOWN - inventory not entered",IF(H79&lt;=D79,"REORDER NOW",IF(H79&lt;=1.2*D79,"WATCH","OK")))</x:f>
        <x:v>UNKNOWN - inventory not entered</x:v>
      </x:c>
      <x:c r="K79" t="str">
        <x:v>High</x:v>
      </x:c>
      <x:c r="L79" t="n">
        <x:v>1384</x:v>
      </x:c>
    </x:row>
    <x:row r="80">
      <x:c r="A80" t="n">
        <x:v>4</x:v>
      </x:c>
      <x:c r="B80" t="n">
        <x:v>8</x:v>
      </x:c>
      <x:c r="C80" t="str">
        <x:v>A</x:v>
      </x:c>
      <x:c r="D80" s="42" t="n">
        <x:v>934</x:v>
      </x:c>
      <x:c r="E80" s="44"/>
      <x:c r="F80" s="44"/>
      <x:c r="G80" s="44"/>
      <x:c r="H80" s="42" t="str">
        <x:f>IF(COUNT(E80:G80)=0,"",E80+IF(F80="",0,F80)-IF(G80="",0,G80))</x:f>
      </x:c>
      <x:c r="I80" s="42" t="str">
        <x:f>IF(H80="","",MAX(0,L80-H80))</x:f>
      </x:c>
      <x:c r="J80" t="str">
        <x:f>IF(H80="","UNKNOWN - inventory not entered",IF(H80&lt;=D80,"REORDER NOW",IF(H80&lt;=1.2*D80,"WATCH","OK")))</x:f>
        <x:v>UNKNOWN - inventory not entered</x:v>
      </x:c>
      <x:c r="K80" t="str">
        <x:v>High</x:v>
      </x:c>
      <x:c r="L80" t="n">
        <x:v>1387</x:v>
      </x:c>
    </x:row>
    <x:row r="81">
      <x:c r="A81" t="n">
        <x:v>9</x:v>
      </x:c>
      <x:c r="B81" t="n">
        <x:v>8</x:v>
      </x:c>
      <x:c r="C81" t="str">
        <x:v>A</x:v>
      </x:c>
      <x:c r="D81" s="42" t="n">
        <x:v>983</x:v>
      </x:c>
      <x:c r="E81" s="44"/>
      <x:c r="F81" s="44"/>
      <x:c r="G81" s="44"/>
      <x:c r="H81" s="42" t="str">
        <x:f>IF(COUNT(E81:G81)=0,"",E81+IF(F81="",0,F81)-IF(G81="",0,G81))</x:f>
      </x:c>
      <x:c r="I81" s="42" t="str">
        <x:f>IF(H81="","",MAX(0,L81-H81))</x:f>
      </x:c>
      <x:c r="J81" t="str">
        <x:f>IF(H81="","UNKNOWN - inventory not entered",IF(H81&lt;=D81,"REORDER NOW",IF(H81&lt;=1.2*D81,"WATCH","OK")))</x:f>
        <x:v>UNKNOWN - inventory not entered</x:v>
      </x:c>
      <x:c r="K81" t="str">
        <x:v>High</x:v>
      </x:c>
      <x:c r="L81" t="n">
        <x:v>1432</x:v>
      </x:c>
    </x:row>
    <x:row r="82">
      <x:c r="A82" t="n">
        <x:v>3</x:v>
      </x:c>
      <x:c r="B82" t="n">
        <x:v>29</x:v>
      </x:c>
      <x:c r="C82" t="str">
        <x:v>A</x:v>
      </x:c>
      <x:c r="D82" s="42" t="n">
        <x:v>912</x:v>
      </x:c>
      <x:c r="E82" s="44"/>
      <x:c r="F82" s="44"/>
      <x:c r="G82" s="44"/>
      <x:c r="H82" s="42" t="str">
        <x:f>IF(COUNT(E82:G82)=0,"",E82+IF(F82="",0,F82)-IF(G82="",0,G82))</x:f>
      </x:c>
      <x:c r="I82" s="42" t="str">
        <x:f>IF(H82="","",MAX(0,L82-H82))</x:f>
      </x:c>
      <x:c r="J82" t="str">
        <x:f>IF(H82="","UNKNOWN - inventory not entered",IF(H82&lt;=D82,"REORDER NOW",IF(H82&lt;=1.2*D82,"WATCH","OK")))</x:f>
        <x:v>UNKNOWN - inventory not entered</x:v>
      </x:c>
      <x:c r="K82" t="str">
        <x:v>High</x:v>
      </x:c>
      <x:c r="L82" t="n">
        <x:v>1358</x:v>
      </x:c>
    </x:row>
    <x:row r="83">
      <x:c r="A83" t="n">
        <x:v>3</x:v>
      </x:c>
      <x:c r="B83" t="n">
        <x:v>11</x:v>
      </x:c>
      <x:c r="C83" t="str">
        <x:v>A</x:v>
      </x:c>
      <x:c r="D83" s="42" t="n">
        <x:v>978</x:v>
      </x:c>
      <x:c r="E83" s="44"/>
      <x:c r="F83" s="44"/>
      <x:c r="G83" s="44"/>
      <x:c r="H83" s="42" t="str">
        <x:f>IF(COUNT(E83:G83)=0,"",E83+IF(F83="",0,F83)-IF(G83="",0,G83))</x:f>
      </x:c>
      <x:c r="I83" s="42" t="str">
        <x:f>IF(H83="","",MAX(0,L83-H83))</x:f>
      </x:c>
      <x:c r="J83" t="str">
        <x:f>IF(H83="","UNKNOWN - inventory not entered",IF(H83&lt;=D83,"REORDER NOW",IF(H83&lt;=1.2*D83,"WATCH","OK")))</x:f>
        <x:v>UNKNOWN - inventory not entered</x:v>
      </x:c>
      <x:c r="K83" t="str">
        <x:v>High</x:v>
      </x:c>
      <x:c r="L83" t="n">
        <x:v>1461</x:v>
      </x:c>
    </x:row>
    <x:row r="84">
      <x:c r="A84" t="n">
        <x:v>8</x:v>
      </x:c>
      <x:c r="B84" t="n">
        <x:v>35</x:v>
      </x:c>
      <x:c r="C84" t="str">
        <x:v>A</x:v>
      </x:c>
      <x:c r="D84" s="42" t="n">
        <x:v>948</x:v>
      </x:c>
      <x:c r="E84" s="44"/>
      <x:c r="F84" s="44"/>
      <x:c r="G84" s="44"/>
      <x:c r="H84" s="42" t="str">
        <x:f>IF(COUNT(E84:G84)=0,"",E84+IF(F84="",0,F84)-IF(G84="",0,G84))</x:f>
      </x:c>
      <x:c r="I84" s="42" t="str">
        <x:f>IF(H84="","",MAX(0,L84-H84))</x:f>
      </x:c>
      <x:c r="J84" t="str">
        <x:f>IF(H84="","UNKNOWN - inventory not entered",IF(H84&lt;=D84,"REORDER NOW",IF(H84&lt;=1.2*D84,"WATCH","OK")))</x:f>
        <x:v>UNKNOWN - inventory not entered</x:v>
      </x:c>
      <x:c r="K84" t="str">
        <x:v>High</x:v>
      </x:c>
      <x:c r="L84" t="n">
        <x:v>1416</x:v>
      </x:c>
    </x:row>
    <x:row r="85">
      <x:c r="A85" t="n">
        <x:v>3</x:v>
      </x:c>
      <x:c r="B85" t="n">
        <x:v>33</x:v>
      </x:c>
      <x:c r="C85" t="str">
        <x:v>A</x:v>
      </x:c>
      <x:c r="D85" s="42" t="n">
        <x:v>930</x:v>
      </x:c>
      <x:c r="E85" s="44"/>
      <x:c r="F85" s="44"/>
      <x:c r="G85" s="44"/>
      <x:c r="H85" s="42" t="str">
        <x:f>IF(COUNT(E85:G85)=0,"",E85+IF(F85="",0,F85)-IF(G85="",0,G85))</x:f>
      </x:c>
      <x:c r="I85" s="42" t="str">
        <x:f>IF(H85="","",MAX(0,L85-H85))</x:f>
      </x:c>
      <x:c r="J85" t="str">
        <x:f>IF(H85="","UNKNOWN - inventory not entered",IF(H85&lt;=D85,"REORDER NOW",IF(H85&lt;=1.2*D85,"WATCH","OK")))</x:f>
        <x:v>UNKNOWN - inventory not entered</x:v>
      </x:c>
      <x:c r="K85" t="str">
        <x:v>High</x:v>
      </x:c>
      <x:c r="L85" t="n">
        <x:v>1385</x:v>
      </x:c>
    </x:row>
    <x:row r="86">
      <x:c r="A86" t="n">
        <x:v>8</x:v>
      </x:c>
      <x:c r="B86" t="n">
        <x:v>24</x:v>
      </x:c>
      <x:c r="C86" t="str">
        <x:v>A</x:v>
      </x:c>
      <x:c r="D86" s="42" t="n">
        <x:v>986</x:v>
      </x:c>
      <x:c r="E86" s="44"/>
      <x:c r="F86" s="44"/>
      <x:c r="G86" s="44"/>
      <x:c r="H86" s="42" t="str">
        <x:f>IF(COUNT(E86:G86)=0,"",E86+IF(F86="",0,F86)-IF(G86="",0,G86))</x:f>
      </x:c>
      <x:c r="I86" s="42" t="str">
        <x:f>IF(H86="","",MAX(0,L86-H86))</x:f>
      </x:c>
      <x:c r="J86" t="str">
        <x:f>IF(H86="","UNKNOWN - inventory not entered",IF(H86&lt;=D86,"REORDER NOW",IF(H86&lt;=1.2*D86,"WATCH","OK")))</x:f>
        <x:v>UNKNOWN - inventory not entered</x:v>
      </x:c>
      <x:c r="K86" t="str">
        <x:v>High</x:v>
      </x:c>
      <x:c r="L86" t="n">
        <x:v>1396</x:v>
      </x:c>
    </x:row>
    <x:row r="87">
      <x:c r="A87" t="n">
        <x:v>10</x:v>
      </x:c>
      <x:c r="B87" t="n">
        <x:v>33</x:v>
      </x:c>
      <x:c r="C87" t="str">
        <x:v>A</x:v>
      </x:c>
      <x:c r="D87" s="42" t="n">
        <x:v>906</x:v>
      </x:c>
      <x:c r="E87" s="44"/>
      <x:c r="F87" s="44"/>
      <x:c r="G87" s="44"/>
      <x:c r="H87" s="42" t="str">
        <x:f>IF(COUNT(E87:G87)=0,"",E87+IF(F87="",0,F87)-IF(G87="",0,G87))</x:f>
      </x:c>
      <x:c r="I87" s="42" t="str">
        <x:f>IF(H87="","",MAX(0,L87-H87))</x:f>
      </x:c>
      <x:c r="J87" t="str">
        <x:f>IF(H87="","UNKNOWN - inventory not entered",IF(H87&lt;=D87,"REORDER NOW",IF(H87&lt;=1.2*D87,"WATCH","OK")))</x:f>
        <x:v>UNKNOWN - inventory not entered</x:v>
      </x:c>
      <x:c r="K87" t="str">
        <x:v>High</x:v>
      </x:c>
      <x:c r="L87" t="n">
        <x:v>1356</x:v>
      </x:c>
    </x:row>
    <x:row r="88">
      <x:c r="A88" t="n">
        <x:v>3</x:v>
      </x:c>
      <x:c r="B88" t="n">
        <x:v>12</x:v>
      </x:c>
      <x:c r="C88" t="str">
        <x:v>A</x:v>
      </x:c>
      <x:c r="D88" s="42" t="n">
        <x:v>905</x:v>
      </x:c>
      <x:c r="E88" s="44"/>
      <x:c r="F88" s="44"/>
      <x:c r="G88" s="44"/>
      <x:c r="H88" s="42" t="str">
        <x:f>IF(COUNT(E88:G88)=0,"",E88+IF(F88="",0,F88)-IF(G88="",0,G88))</x:f>
      </x:c>
      <x:c r="I88" s="42" t="str">
        <x:f>IF(H88="","",MAX(0,L88-H88))</x:f>
      </x:c>
      <x:c r="J88" t="str">
        <x:f>IF(H88="","UNKNOWN - inventory not entered",IF(H88&lt;=D88,"REORDER NOW",IF(H88&lt;=1.2*D88,"WATCH","OK")))</x:f>
        <x:v>UNKNOWN - inventory not entered</x:v>
      </x:c>
      <x:c r="K88" t="str">
        <x:v>High</x:v>
      </x:c>
      <x:c r="L88" t="n">
        <x:v>1369</x:v>
      </x:c>
    </x:row>
    <x:row r="89">
      <x:c r="A89" t="n">
        <x:v>10</x:v>
      </x:c>
      <x:c r="B89" t="n">
        <x:v>29</x:v>
      </x:c>
      <x:c r="C89" t="str">
        <x:v>A</x:v>
      </x:c>
      <x:c r="D89" s="42" t="n">
        <x:v>935</x:v>
      </x:c>
      <x:c r="E89" s="44"/>
      <x:c r="F89" s="44"/>
      <x:c r="G89" s="44"/>
      <x:c r="H89" s="42" t="str">
        <x:f>IF(COUNT(E89:G89)=0,"",E89+IF(F89="",0,F89)-IF(G89="",0,G89))</x:f>
      </x:c>
      <x:c r="I89" s="42" t="str">
        <x:f>IF(H89="","",MAX(0,L89-H89))</x:f>
      </x:c>
      <x:c r="J89" t="str">
        <x:f>IF(H89="","UNKNOWN - inventory not entered",IF(H89&lt;=D89,"REORDER NOW",IF(H89&lt;=1.2*D89,"WATCH","OK")))</x:f>
        <x:v>UNKNOWN - inventory not entered</x:v>
      </x:c>
      <x:c r="K89" t="str">
        <x:v>High</x:v>
      </x:c>
      <x:c r="L89" t="n">
        <x:v>1380</x:v>
      </x:c>
    </x:row>
    <x:row r="90">
      <x:c r="A90" t="n">
        <x:v>9</x:v>
      </x:c>
      <x:c r="B90" t="n">
        <x:v>10</x:v>
      </x:c>
      <x:c r="C90" t="str">
        <x:v>A</x:v>
      </x:c>
      <x:c r="D90" s="42" t="n">
        <x:v>869</x:v>
      </x:c>
      <x:c r="E90" s="44"/>
      <x:c r="F90" s="44"/>
      <x:c r="G90" s="44"/>
      <x:c r="H90" s="42" t="str">
        <x:f>IF(COUNT(E90:G90)=0,"",E90+IF(F90="",0,F90)-IF(G90="",0,G90))</x:f>
      </x:c>
      <x:c r="I90" s="42" t="str">
        <x:f>IF(H90="","",MAX(0,L90-H90))</x:f>
      </x:c>
      <x:c r="J90" t="str">
        <x:f>IF(H90="","UNKNOWN - inventory not entered",IF(H90&lt;=D90,"REORDER NOW",IF(H90&lt;=1.2*D90,"WATCH","OK")))</x:f>
        <x:v>UNKNOWN - inventory not entered</x:v>
      </x:c>
      <x:c r="K90" t="str">
        <x:v>High</x:v>
      </x:c>
      <x:c r="L90" t="n">
        <x:v>1332</x:v>
      </x:c>
    </x:row>
    <x:row r="91">
      <x:c r="A91" t="n">
        <x:v>1</x:v>
      </x:c>
      <x:c r="B91" t="n">
        <x:v>28</x:v>
      </x:c>
      <x:c r="C91" t="str">
        <x:v>A</x:v>
      </x:c>
      <x:c r="D91" s="42" t="n">
        <x:v>912</x:v>
      </x:c>
      <x:c r="E91" s="44"/>
      <x:c r="F91" s="44"/>
      <x:c r="G91" s="44"/>
      <x:c r="H91" s="42" t="str">
        <x:f>IF(COUNT(E91:G91)=0,"",E91+IF(F91="",0,F91)-IF(G91="",0,G91))</x:f>
      </x:c>
      <x:c r="I91" s="42" t="str">
        <x:f>IF(H91="","",MAX(0,L91-H91))</x:f>
      </x:c>
      <x:c r="J91" t="str">
        <x:f>IF(H91="","UNKNOWN - inventory not entered",IF(H91&lt;=D91,"REORDER NOW",IF(H91&lt;=1.2*D91,"WATCH","OK")))</x:f>
        <x:v>UNKNOWN - inventory not entered</x:v>
      </x:c>
      <x:c r="K91" t="str">
        <x:v>High</x:v>
      </x:c>
      <x:c r="L91" t="n">
        <x:v>1333</x:v>
      </x:c>
    </x:row>
    <x:row r="92">
      <x:c r="A92" t="n">
        <x:v>4</x:v>
      </x:c>
      <x:c r="B92" t="n">
        <x:v>10</x:v>
      </x:c>
      <x:c r="C92" t="str">
        <x:v>A</x:v>
      </x:c>
      <x:c r="D92" s="42" t="n">
        <x:v>929</x:v>
      </x:c>
      <x:c r="E92" s="44"/>
      <x:c r="F92" s="44"/>
      <x:c r="G92" s="44"/>
      <x:c r="H92" s="42" t="str">
        <x:f>IF(COUNT(E92:G92)=0,"",E92+IF(F92="",0,F92)-IF(G92="",0,G92))</x:f>
      </x:c>
      <x:c r="I92" s="42" t="str">
        <x:f>IF(H92="","",MAX(0,L92-H92))</x:f>
      </x:c>
      <x:c r="J92" t="str">
        <x:f>IF(H92="","UNKNOWN - inventory not entered",IF(H92&lt;=D92,"REORDER NOW",IF(H92&lt;=1.2*D92,"WATCH","OK")))</x:f>
        <x:v>UNKNOWN - inventory not entered</x:v>
      </x:c>
      <x:c r="K92" t="str">
        <x:v>High</x:v>
      </x:c>
      <x:c r="L92" t="n">
        <x:v>1359</x:v>
      </x:c>
    </x:row>
    <x:row r="93">
      <x:c r="A93" t="n">
        <x:v>10</x:v>
      </x:c>
      <x:c r="B93" t="n">
        <x:v>11</x:v>
      </x:c>
      <x:c r="C93" t="str">
        <x:v>A</x:v>
      </x:c>
      <x:c r="D93" s="42" t="n">
        <x:v>933</x:v>
      </x:c>
      <x:c r="E93" s="44"/>
      <x:c r="F93" s="44"/>
      <x:c r="G93" s="44"/>
      <x:c r="H93" s="42" t="str">
        <x:f>IF(COUNT(E93:G93)=0,"",E93+IF(F93="",0,F93)-IF(G93="",0,G93))</x:f>
      </x:c>
      <x:c r="I93" s="42" t="str">
        <x:f>IF(H93="","",MAX(0,L93-H93))</x:f>
      </x:c>
      <x:c r="J93" t="str">
        <x:f>IF(H93="","UNKNOWN - inventory not entered",IF(H93&lt;=D93,"REORDER NOW",IF(H93&lt;=1.2*D93,"WATCH","OK")))</x:f>
        <x:v>UNKNOWN - inventory not entered</x:v>
      </x:c>
      <x:c r="K93" t="str">
        <x:v>High</x:v>
      </x:c>
      <x:c r="L93" t="n">
        <x:v>1374</x:v>
      </x:c>
    </x:row>
    <x:row r="94">
      <x:c r="A94" t="n">
        <x:v>1</x:v>
      </x:c>
      <x:c r="B94" t="n">
        <x:v>13</x:v>
      </x:c>
      <x:c r="C94" t="str">
        <x:v>A</x:v>
      </x:c>
      <x:c r="D94" s="42" t="n">
        <x:v>903</x:v>
      </x:c>
      <x:c r="E94" s="44"/>
      <x:c r="F94" s="44"/>
      <x:c r="G94" s="44"/>
      <x:c r="H94" s="42" t="str">
        <x:f>IF(COUNT(E94:G94)=0,"",E94+IF(F94="",0,F94)-IF(G94="",0,G94))</x:f>
      </x:c>
      <x:c r="I94" s="42" t="str">
        <x:f>IF(H94="","",MAX(0,L94-H94))</x:f>
      </x:c>
      <x:c r="J94" t="str">
        <x:f>IF(H94="","UNKNOWN - inventory not entered",IF(H94&lt;=D94,"REORDER NOW",IF(H94&lt;=1.2*D94,"WATCH","OK")))</x:f>
        <x:v>UNKNOWN - inventory not entered</x:v>
      </x:c>
      <x:c r="K94" t="str">
        <x:v>High</x:v>
      </x:c>
      <x:c r="L94" t="n">
        <x:v>1340</x:v>
      </x:c>
    </x:row>
    <x:row r="95">
      <x:c r="A95" t="n">
        <x:v>10</x:v>
      </x:c>
      <x:c r="B95" t="n">
        <x:v>12</x:v>
      </x:c>
      <x:c r="C95" t="str">
        <x:v>A</x:v>
      </x:c>
      <x:c r="D95" s="42" t="n">
        <x:v>868</x:v>
      </x:c>
      <x:c r="E95" s="44"/>
      <x:c r="F95" s="44"/>
      <x:c r="G95" s="44"/>
      <x:c r="H95" s="42" t="str">
        <x:f>IF(COUNT(E95:G95)=0,"",E95+IF(F95="",0,F95)-IF(G95="",0,G95))</x:f>
      </x:c>
      <x:c r="I95" s="42" t="str">
        <x:f>IF(H95="","",MAX(0,L95-H95))</x:f>
      </x:c>
      <x:c r="J95" t="str">
        <x:f>IF(H95="","UNKNOWN - inventory not entered",IF(H95&lt;=D95,"REORDER NOW",IF(H95&lt;=1.2*D95,"WATCH","OK")))</x:f>
        <x:v>UNKNOWN - inventory not entered</x:v>
      </x:c>
      <x:c r="K95" t="str">
        <x:v>High</x:v>
      </x:c>
      <x:c r="L95" t="n">
        <x:v>1303</x:v>
      </x:c>
    </x:row>
    <x:row r="96">
      <x:c r="A96" t="n">
        <x:v>2</x:v>
      </x:c>
      <x:c r="B96" t="n">
        <x:v>14</x:v>
      </x:c>
      <x:c r="C96" t="str">
        <x:v>A</x:v>
      </x:c>
      <x:c r="D96" s="42" t="n">
        <x:v>851</x:v>
      </x:c>
      <x:c r="E96" s="44"/>
      <x:c r="F96" s="44"/>
      <x:c r="G96" s="44"/>
      <x:c r="H96" s="42" t="str">
        <x:f>IF(COUNT(E96:G96)=0,"",E96+IF(F96="",0,F96)-IF(G96="",0,G96))</x:f>
      </x:c>
      <x:c r="I96" s="42" t="str">
        <x:f>IF(H96="","",MAX(0,L96-H96))</x:f>
      </x:c>
      <x:c r="J96" t="str">
        <x:f>IF(H96="","UNKNOWN - inventory not entered",IF(H96&lt;=D96,"REORDER NOW",IF(H96&lt;=1.2*D96,"WATCH","OK")))</x:f>
        <x:v>UNKNOWN - inventory not entered</x:v>
      </x:c>
      <x:c r="K96" t="str">
        <x:v>High</x:v>
      </x:c>
      <x:c r="L96" t="n">
        <x:v>1279</x:v>
      </x:c>
    </x:row>
    <x:row r="97">
      <x:c r="A97" t="n">
        <x:v>3</x:v>
      </x:c>
      <x:c r="B97" t="n">
        <x:v>24</x:v>
      </x:c>
      <x:c r="C97" t="str">
        <x:v>A</x:v>
      </x:c>
      <x:c r="D97" s="42" t="n">
        <x:v>919</x:v>
      </x:c>
      <x:c r="E97" s="44"/>
      <x:c r="F97" s="44"/>
      <x:c r="G97" s="44"/>
      <x:c r="H97" s="42" t="str">
        <x:f>IF(COUNT(E97:G97)=0,"",E97+IF(F97="",0,F97)-IF(G97="",0,G97))</x:f>
      </x:c>
      <x:c r="I97" s="42" t="str">
        <x:f>IF(H97="","",MAX(0,L97-H97))</x:f>
      </x:c>
      <x:c r="J97" t="str">
        <x:f>IF(H97="","UNKNOWN - inventory not entered",IF(H97&lt;=D97,"REORDER NOW",IF(H97&lt;=1.2*D97,"WATCH","OK")))</x:f>
        <x:v>UNKNOWN - inventory not entered</x:v>
      </x:c>
      <x:c r="K97" t="str">
        <x:v>High</x:v>
      </x:c>
      <x:c r="L97" t="n">
        <x:v>1391</x:v>
      </x:c>
    </x:row>
    <x:row r="98">
      <x:c r="A98" t="n">
        <x:v>2</x:v>
      </x:c>
      <x:c r="B98" t="n">
        <x:v>6</x:v>
      </x:c>
      <x:c r="C98" t="str">
        <x:v>A</x:v>
      </x:c>
      <x:c r="D98" s="42" t="n">
        <x:v>915</x:v>
      </x:c>
      <x:c r="E98" s="44"/>
      <x:c r="F98" s="44"/>
      <x:c r="G98" s="44"/>
      <x:c r="H98" s="42" t="str">
        <x:f>IF(COUNT(E98:G98)=0,"",E98+IF(F98="",0,F98)-IF(G98="",0,G98))</x:f>
      </x:c>
      <x:c r="I98" s="42" t="str">
        <x:f>IF(H98="","",MAX(0,L98-H98))</x:f>
      </x:c>
      <x:c r="J98" t="str">
        <x:f>IF(H98="","UNKNOWN - inventory not entered",IF(H98&lt;=D98,"REORDER NOW",IF(H98&lt;=1.2*D98,"WATCH","OK")))</x:f>
        <x:v>UNKNOWN - inventory not entered</x:v>
      </x:c>
      <x:c r="K98" t="str">
        <x:v>High</x:v>
      </x:c>
      <x:c r="L98" t="n">
        <x:v>1371</x:v>
      </x:c>
    </x:row>
    <x:row r="99">
      <x:c r="A99" t="n">
        <x:v>2</x:v>
      </x:c>
      <x:c r="B99" t="n">
        <x:v>7</x:v>
      </x:c>
      <x:c r="C99" t="str">
        <x:v>A</x:v>
      </x:c>
      <x:c r="D99" s="42" t="n">
        <x:v>933</x:v>
      </x:c>
      <x:c r="E99" s="44"/>
      <x:c r="F99" s="44"/>
      <x:c r="G99" s="44"/>
      <x:c r="H99" s="42" t="str">
        <x:f>IF(COUNT(E99:G99)=0,"",E99+IF(F99="",0,F99)-IF(G99="",0,G99))</x:f>
      </x:c>
      <x:c r="I99" s="42" t="str">
        <x:f>IF(H99="","",MAX(0,L99-H99))</x:f>
      </x:c>
      <x:c r="J99" t="str">
        <x:f>IF(H99="","UNKNOWN - inventory not entered",IF(H99&lt;=D99,"REORDER NOW",IF(H99&lt;=1.2*D99,"WATCH","OK")))</x:f>
        <x:v>UNKNOWN - inventory not entered</x:v>
      </x:c>
      <x:c r="K99" t="str">
        <x:v>High</x:v>
      </x:c>
      <x:c r="L99" t="n">
        <x:v>1346</x:v>
      </x:c>
    </x:row>
    <x:row r="100">
      <x:c r="A100" t="n">
        <x:v>3</x:v>
      </x:c>
      <x:c r="B100" t="n">
        <x:v>35</x:v>
      </x:c>
      <x:c r="C100" t="str">
        <x:v>A</x:v>
      </x:c>
      <x:c r="D100" s="42" t="n">
        <x:v>898</x:v>
      </x:c>
      <x:c r="E100" s="44"/>
      <x:c r="F100" s="44"/>
      <x:c r="G100" s="44"/>
      <x:c r="H100" s="42" t="str">
        <x:f>IF(COUNT(E100:G100)=0,"",E100+IF(F100="",0,F100)-IF(G100="",0,G100))</x:f>
      </x:c>
      <x:c r="I100" s="42" t="str">
        <x:f>IF(H100="","",MAX(0,L100-H100))</x:f>
      </x:c>
      <x:c r="J100" t="str">
        <x:f>IF(H100="","UNKNOWN - inventory not entered",IF(H100&lt;=D100,"REORDER NOW",IF(H100&lt;=1.2*D100,"WATCH","OK")))</x:f>
        <x:v>UNKNOWN - inventory not entered</x:v>
      </x:c>
      <x:c r="K100" t="str">
        <x:v>High</x:v>
      </x:c>
      <x:c r="L100" t="n">
        <x:v>1302</x:v>
      </x:c>
    </x:row>
    <x:row r="101">
      <x:c r="A101" t="n">
        <x:v>2</x:v>
      </x:c>
      <x:c r="B101" t="n">
        <x:v>2</x:v>
      </x:c>
      <x:c r="C101" t="str">
        <x:v>A</x:v>
      </x:c>
      <x:c r="D101" s="42" t="n">
        <x:v>891</x:v>
      </x:c>
      <x:c r="E101" s="44"/>
      <x:c r="F101" s="44"/>
      <x:c r="G101" s="44"/>
      <x:c r="H101" s="42" t="str">
        <x:f>IF(COUNT(E101:G101)=0,"",E101+IF(F101="",0,F101)-IF(G101="",0,G101))</x:f>
      </x:c>
      <x:c r="I101" s="42" t="str">
        <x:f>IF(H101="","",MAX(0,L101-H101))</x:f>
      </x:c>
      <x:c r="J101" t="str">
        <x:f>IF(H101="","UNKNOWN - inventory not entered",IF(H101&lt;=D101,"REORDER NOW",IF(H101&lt;=1.2*D101,"WATCH","OK")))</x:f>
        <x:v>UNKNOWN - inventory not entered</x:v>
      </x:c>
      <x:c r="K101" t="str">
        <x:v>High</x:v>
      </x:c>
      <x:c r="L101" t="n">
        <x:v>1315</x:v>
      </x:c>
    </x:row>
    <x:row r="102">
      <x:c r="A102" t="n">
        <x:v>10</x:v>
      </x:c>
      <x:c r="B102" t="n">
        <x:v>35</x:v>
      </x:c>
      <x:c r="C102" t="str">
        <x:v>A</x:v>
      </x:c>
      <x:c r="D102" s="42" t="n">
        <x:v>880</x:v>
      </x:c>
      <x:c r="E102" s="44"/>
      <x:c r="F102" s="44"/>
      <x:c r="G102" s="44"/>
      <x:c r="H102" s="42" t="str">
        <x:f>IF(COUNT(E102:G102)=0,"",E102+IF(F102="",0,F102)-IF(G102="",0,G102))</x:f>
      </x:c>
      <x:c r="I102" s="42" t="str">
        <x:f>IF(H102="","",MAX(0,L102-H102))</x:f>
      </x:c>
      <x:c r="J102" t="str">
        <x:f>IF(H102="","UNKNOWN - inventory not entered",IF(H102&lt;=D102,"REORDER NOW",IF(H102&lt;=1.2*D102,"WATCH","OK")))</x:f>
        <x:v>UNKNOWN - inventory not entered</x:v>
      </x:c>
      <x:c r="K102" t="str">
        <x:v>High</x:v>
      </x:c>
      <x:c r="L102" t="n">
        <x:v>1300</x:v>
      </x:c>
    </x:row>
    <x:row r="103">
      <x:c r="A103" t="n">
        <x:v>1</x:v>
      </x:c>
      <x:c r="B103" t="n">
        <x:v>18</x:v>
      </x:c>
      <x:c r="C103" t="str">
        <x:v>A</x:v>
      </x:c>
      <x:c r="D103" s="42" t="n">
        <x:v>902</x:v>
      </x:c>
      <x:c r="E103" s="44"/>
      <x:c r="F103" s="44"/>
      <x:c r="G103" s="44"/>
      <x:c r="H103" s="42" t="str">
        <x:f>IF(COUNT(E103:G103)=0,"",E103+IF(F103="",0,F103)-IF(G103="",0,G103))</x:f>
      </x:c>
      <x:c r="I103" s="42" t="str">
        <x:f>IF(H103="","",MAX(0,L103-H103))</x:f>
      </x:c>
      <x:c r="J103" t="str">
        <x:f>IF(H103="","UNKNOWN - inventory not entered",IF(H103&lt;=D103,"REORDER NOW",IF(H103&lt;=1.2*D103,"WATCH","OK")))</x:f>
        <x:v>UNKNOWN - inventory not entered</x:v>
      </x:c>
      <x:c r="K103" t="str">
        <x:v>High</x:v>
      </x:c>
      <x:c r="L103" t="n">
        <x:v>1337</x:v>
      </x:c>
    </x:row>
    <x:row r="104">
      <x:c r="A104" t="n">
        <x:v>3</x:v>
      </x:c>
      <x:c r="B104" t="n">
        <x:v>50</x:v>
      </x:c>
      <x:c r="C104" t="str">
        <x:v>A</x:v>
      </x:c>
      <x:c r="D104" s="42" t="n">
        <x:v>858</x:v>
      </x:c>
      <x:c r="E104" s="44"/>
      <x:c r="F104" s="44"/>
      <x:c r="G104" s="44"/>
      <x:c r="H104" s="42" t="str">
        <x:f>IF(COUNT(E104:G104)=0,"",E104+IF(F104="",0,F104)-IF(G104="",0,G104))</x:f>
      </x:c>
      <x:c r="I104" s="42" t="str">
        <x:f>IF(H104="","",MAX(0,L104-H104))</x:f>
      </x:c>
      <x:c r="J104" t="str">
        <x:f>IF(H104="","UNKNOWN - inventory not entered",IF(H104&lt;=D104,"REORDER NOW",IF(H104&lt;=1.2*D104,"WATCH","OK")))</x:f>
        <x:v>UNKNOWN - inventory not entered</x:v>
      </x:c>
      <x:c r="K104" t="str">
        <x:v>High</x:v>
      </x:c>
      <x:c r="L104" t="n">
        <x:v>1324</x:v>
      </x:c>
    </x:row>
    <x:row r="105">
      <x:c r="A105" t="n">
        <x:v>4</x:v>
      </x:c>
      <x:c r="B105" t="n">
        <x:v>29</x:v>
      </x:c>
      <x:c r="C105" t="str">
        <x:v>A</x:v>
      </x:c>
      <x:c r="D105" s="42" t="n">
        <x:v>862</x:v>
      </x:c>
      <x:c r="E105" s="44"/>
      <x:c r="F105" s="44"/>
      <x:c r="G105" s="44"/>
      <x:c r="H105" s="42" t="str">
        <x:f>IF(COUNT(E105:G105)=0,"",E105+IF(F105="",0,F105)-IF(G105="",0,G105))</x:f>
      </x:c>
      <x:c r="I105" s="42" t="str">
        <x:f>IF(H105="","",MAX(0,L105-H105))</x:f>
      </x:c>
      <x:c r="J105" t="str">
        <x:f>IF(H105="","UNKNOWN - inventory not entered",IF(H105&lt;=D105,"REORDER NOW",IF(H105&lt;=1.2*D105,"WATCH","OK")))</x:f>
        <x:v>UNKNOWN - inventory not entered</x:v>
      </x:c>
      <x:c r="K105" t="str">
        <x:v>Medium</x:v>
      </x:c>
      <x:c r="L105" t="n">
        <x:v>1291</x:v>
      </x:c>
    </x:row>
    <x:row r="106">
      <x:c r="A106" t="n">
        <x:v>9</x:v>
      </x:c>
      <x:c r="B106" t="n">
        <x:v>29</x:v>
      </x:c>
      <x:c r="C106" t="str">
        <x:v>A</x:v>
      </x:c>
      <x:c r="D106" s="42" t="n">
        <x:v>878</x:v>
      </x:c>
      <x:c r="E106" s="44"/>
      <x:c r="F106" s="44"/>
      <x:c r="G106" s="44"/>
      <x:c r="H106" s="42" t="str">
        <x:f>IF(COUNT(E106:G106)=0,"",E106+IF(F106="",0,F106)-IF(G106="",0,G106))</x:f>
      </x:c>
      <x:c r="I106" s="42" t="str">
        <x:f>IF(H106="","",MAX(0,L106-H106))</x:f>
      </x:c>
      <x:c r="J106" t="str">
        <x:f>IF(H106="","UNKNOWN - inventory not entered",IF(H106&lt;=D106,"REORDER NOW",IF(H106&lt;=1.2*D106,"WATCH","OK")))</x:f>
        <x:v>UNKNOWN - inventory not entered</x:v>
      </x:c>
      <x:c r="K106" t="str">
        <x:v>Medium</x:v>
      </x:c>
      <x:c r="L106" t="n">
        <x:v>1304</x:v>
      </x:c>
    </x:row>
    <x:row r="107">
      <x:c r="A107" t="n">
        <x:v>2</x:v>
      </x:c>
      <x:c r="B107" t="n">
        <x:v>46</x:v>
      </x:c>
      <x:c r="C107" t="str">
        <x:v>A</x:v>
      </x:c>
      <x:c r="D107" s="42" t="n">
        <x:v>893</x:v>
      </x:c>
      <x:c r="E107" s="44"/>
      <x:c r="F107" s="44"/>
      <x:c r="G107" s="44"/>
      <x:c r="H107" s="42" t="str">
        <x:f>IF(COUNT(E107:G107)=0,"",E107+IF(F107="",0,F107)-IF(G107="",0,G107))</x:f>
      </x:c>
      <x:c r="I107" s="42" t="str">
        <x:f>IF(H107="","",MAX(0,L107-H107))</x:f>
      </x:c>
      <x:c r="J107" t="str">
        <x:f>IF(H107="","UNKNOWN - inventory not entered",IF(H107&lt;=D107,"REORDER NOW",IF(H107&lt;=1.2*D107,"WATCH","OK")))</x:f>
        <x:v>UNKNOWN - inventory not entered</x:v>
      </x:c>
      <x:c r="K107" t="str">
        <x:v>Medium</x:v>
      </x:c>
      <x:c r="L107" t="n">
        <x:v>1284</x:v>
      </x:c>
    </x:row>
    <x:row r="108">
      <x:c r="A108" t="n">
        <x:v>9</x:v>
      </x:c>
      <x:c r="B108" t="n">
        <x:v>33</x:v>
      </x:c>
      <x:c r="C108" t="str">
        <x:v>A</x:v>
      </x:c>
      <x:c r="D108" s="42" t="n">
        <x:v>883</x:v>
      </x:c>
      <x:c r="E108" s="44"/>
      <x:c r="F108" s="44"/>
      <x:c r="G108" s="44"/>
      <x:c r="H108" s="42" t="str">
        <x:f>IF(COUNT(E108:G108)=0,"",E108+IF(F108="",0,F108)-IF(G108="",0,G108))</x:f>
      </x:c>
      <x:c r="I108" s="42" t="str">
        <x:f>IF(H108="","",MAX(0,L108-H108))</x:f>
      </x:c>
      <x:c r="J108" t="str">
        <x:f>IF(H108="","UNKNOWN - inventory not entered",IF(H108&lt;=D108,"REORDER NOW",IF(H108&lt;=1.2*D108,"WATCH","OK")))</x:f>
        <x:v>UNKNOWN - inventory not entered</x:v>
      </x:c>
      <x:c r="K108" t="str">
        <x:v>Medium</x:v>
      </x:c>
      <x:c r="L108" t="n">
        <x:v>1301</x:v>
      </x:c>
    </x:row>
    <x:row r="109">
      <x:c r="A109" t="n">
        <x:v>4</x:v>
      </x:c>
      <x:c r="B109" t="n">
        <x:v>12</x:v>
      </x:c>
      <x:c r="C109" t="str">
        <x:v>A</x:v>
      </x:c>
      <x:c r="D109" s="42" t="n">
        <x:v>852</x:v>
      </x:c>
      <x:c r="E109" s="44"/>
      <x:c r="F109" s="44"/>
      <x:c r="G109" s="44"/>
      <x:c r="H109" s="42" t="str">
        <x:f>IF(COUNT(E109:G109)=0,"",E109+IF(F109="",0,F109)-IF(G109="",0,G109))</x:f>
      </x:c>
      <x:c r="I109" s="42" t="str">
        <x:f>IF(H109="","",MAX(0,L109-H109))</x:f>
      </x:c>
      <x:c r="J109" t="str">
        <x:f>IF(H109="","UNKNOWN - inventory not entered",IF(H109&lt;=D109,"REORDER NOW",IF(H109&lt;=1.2*D109,"WATCH","OK")))</x:f>
        <x:v>UNKNOWN - inventory not entered</x:v>
      </x:c>
      <x:c r="K109" t="str">
        <x:v>Medium</x:v>
      </x:c>
      <x:c r="L109" t="n">
        <x:v>1246</x:v>
      </x:c>
    </x:row>
    <x:row r="110">
      <x:c r="A110" t="n">
        <x:v>1</x:v>
      </x:c>
      <x:c r="B110" t="n">
        <x:v>38</x:v>
      </x:c>
      <x:c r="C110" t="str">
        <x:v>A</x:v>
      </x:c>
      <x:c r="D110" s="42" t="n">
        <x:v>911</x:v>
      </x:c>
      <x:c r="E110" s="44"/>
      <x:c r="F110" s="44"/>
      <x:c r="G110" s="44"/>
      <x:c r="H110" s="42" t="str">
        <x:f>IF(COUNT(E110:G110)=0,"",E110+IF(F110="",0,F110)-IF(G110="",0,G110))</x:f>
      </x:c>
      <x:c r="I110" s="42" t="str">
        <x:f>IF(H110="","",MAX(0,L110-H110))</x:f>
      </x:c>
      <x:c r="J110" t="str">
        <x:f>IF(H110="","UNKNOWN - inventory not entered",IF(H110&lt;=D110,"REORDER NOW",IF(H110&lt;=1.2*D110,"WATCH","OK")))</x:f>
        <x:v>UNKNOWN - inventory not entered</x:v>
      </x:c>
      <x:c r="K110" t="str">
        <x:v>Medium</x:v>
      </x:c>
      <x:c r="L110" t="n">
        <x:v>1311</x:v>
      </x:c>
    </x:row>
    <x:row r="111">
      <x:c r="A111" t="n">
        <x:v>9</x:v>
      </x:c>
      <x:c r="B111" t="n">
        <x:v>11</x:v>
      </x:c>
      <x:c r="C111" t="str">
        <x:v>A</x:v>
      </x:c>
      <x:c r="D111" s="42" t="n">
        <x:v>903</x:v>
      </x:c>
      <x:c r="E111" s="44"/>
      <x:c r="F111" s="44"/>
      <x:c r="G111" s="44"/>
      <x:c r="H111" s="42" t="str">
        <x:f>IF(COUNT(E111:G111)=0,"",E111+IF(F111="",0,F111)-IF(G111="",0,G111))</x:f>
      </x:c>
      <x:c r="I111" s="42" t="str">
        <x:f>IF(H111="","",MAX(0,L111-H111))</x:f>
      </x:c>
      <x:c r="J111" t="str">
        <x:f>IF(H111="","UNKNOWN - inventory not entered",IF(H111&lt;=D111,"REORDER NOW",IF(H111&lt;=1.2*D111,"WATCH","OK")))</x:f>
        <x:v>UNKNOWN - inventory not entered</x:v>
      </x:c>
      <x:c r="K111" t="str">
        <x:v>Medium</x:v>
      </x:c>
      <x:c r="L111" t="n">
        <x:v>1323</x:v>
      </x:c>
    </x:row>
    <x:row r="112">
      <x:c r="A112" t="n">
        <x:v>1</x:v>
      </x:c>
      <x:c r="B112" t="n">
        <x:v>45</x:v>
      </x:c>
      <x:c r="C112" t="str">
        <x:v>A</x:v>
      </x:c>
      <x:c r="D112" s="42" t="n">
        <x:v>873</x:v>
      </x:c>
      <x:c r="E112" s="44"/>
      <x:c r="F112" s="44"/>
      <x:c r="G112" s="44"/>
      <x:c r="H112" s="42" t="str">
        <x:f>IF(COUNT(E112:G112)=0,"",E112+IF(F112="",0,F112)-IF(G112="",0,G112))</x:f>
      </x:c>
      <x:c r="I112" s="42" t="str">
        <x:f>IF(H112="","",MAX(0,L112-H112))</x:f>
      </x:c>
      <x:c r="J112" t="str">
        <x:f>IF(H112="","UNKNOWN - inventory not entered",IF(H112&lt;=D112,"REORDER NOW",IF(H112&lt;=1.2*D112,"WATCH","OK")))</x:f>
        <x:v>UNKNOWN - inventory not entered</x:v>
      </x:c>
      <x:c r="K112" t="str">
        <x:v>Medium</x:v>
      </x:c>
      <x:c r="L112" t="n">
        <x:v>1293</x:v>
      </x:c>
    </x:row>
    <x:row r="113">
      <x:c r="A113" t="n">
        <x:v>1</x:v>
      </x:c>
      <x:c r="B113" t="n">
        <x:v>22</x:v>
      </x:c>
      <x:c r="C113" t="str">
        <x:v>A</x:v>
      </x:c>
      <x:c r="D113" s="42" t="n">
        <x:v>856</x:v>
      </x:c>
      <x:c r="E113" s="44"/>
      <x:c r="F113" s="44"/>
      <x:c r="G113" s="44"/>
      <x:c r="H113" s="42" t="str">
        <x:f>IF(COUNT(E113:G113)=0,"",E113+IF(F113="",0,F113)-IF(G113="",0,G113))</x:f>
      </x:c>
      <x:c r="I113" s="42" t="str">
        <x:f>IF(H113="","",MAX(0,L113-H113))</x:f>
      </x:c>
      <x:c r="J113" t="str">
        <x:f>IF(H113="","UNKNOWN - inventory not entered",IF(H113&lt;=D113,"REORDER NOW",IF(H113&lt;=1.2*D113,"WATCH","OK")))</x:f>
        <x:v>UNKNOWN - inventory not entered</x:v>
      </x:c>
      <x:c r="K113" t="str">
        <x:v>Medium</x:v>
      </x:c>
      <x:c r="L113" t="n">
        <x:v>1273</x:v>
      </x:c>
    </x:row>
    <x:row r="114">
      <x:c r="A114" t="n">
        <x:v>10</x:v>
      </x:c>
      <x:c r="B114" t="n">
        <x:v>50</x:v>
      </x:c>
      <x:c r="C114" t="str">
        <x:v>A</x:v>
      </x:c>
      <x:c r="D114" s="42" t="n">
        <x:v>926</x:v>
      </x:c>
      <x:c r="E114" s="44"/>
      <x:c r="F114" s="44"/>
      <x:c r="G114" s="44"/>
      <x:c r="H114" s="42" t="str">
        <x:f>IF(COUNT(E114:G114)=0,"",E114+IF(F114="",0,F114)-IF(G114="",0,G114))</x:f>
      </x:c>
      <x:c r="I114" s="42" t="str">
        <x:f>IF(H114="","",MAX(0,L114-H114))</x:f>
      </x:c>
      <x:c r="J114" t="str">
        <x:f>IF(H114="","UNKNOWN - inventory not entered",IF(H114&lt;=D114,"REORDER NOW",IF(H114&lt;=1.2*D114,"WATCH","OK")))</x:f>
        <x:v>UNKNOWN - inventory not entered</x:v>
      </x:c>
      <x:c r="K114" t="str">
        <x:v>Medium</x:v>
      </x:c>
      <x:c r="L114" t="n">
        <x:v>1293</x:v>
      </x:c>
    </x:row>
    <x:row r="115">
      <x:c r="A115" t="n">
        <x:v>2</x:v>
      </x:c>
      <x:c r="B115" t="n">
        <x:v>31</x:v>
      </x:c>
      <x:c r="C115" t="str">
        <x:v>A</x:v>
      </x:c>
      <x:c r="D115" s="42" t="n">
        <x:v>884</x:v>
      </x:c>
      <x:c r="E115" s="44"/>
      <x:c r="F115" s="44"/>
      <x:c r="G115" s="44"/>
      <x:c r="H115" s="42" t="str">
        <x:f>IF(COUNT(E115:G115)=0,"",E115+IF(F115="",0,F115)-IF(G115="",0,G115))</x:f>
      </x:c>
      <x:c r="I115" s="42" t="str">
        <x:f>IF(H115="","",MAX(0,L115-H115))</x:f>
      </x:c>
      <x:c r="J115" t="str">
        <x:f>IF(H115="","UNKNOWN - inventory not entered",IF(H115&lt;=D115,"REORDER NOW",IF(H115&lt;=1.2*D115,"WATCH","OK")))</x:f>
        <x:v>UNKNOWN - inventory not entered</x:v>
      </x:c>
      <x:c r="K115" t="str">
        <x:v>Medium</x:v>
      </x:c>
      <x:c r="L115" t="n">
        <x:v>1298</x:v>
      </x:c>
    </x:row>
    <x:row r="116">
      <x:c r="A116" t="n">
        <x:v>4</x:v>
      </x:c>
      <x:c r="B116" t="n">
        <x:v>33</x:v>
      </x:c>
      <x:c r="C116" t="str">
        <x:v>A</x:v>
      </x:c>
      <x:c r="D116" s="42" t="n">
        <x:v>821</x:v>
      </x:c>
      <x:c r="E116" s="44"/>
      <x:c r="F116" s="44"/>
      <x:c r="G116" s="44"/>
      <x:c r="H116" s="42" t="str">
        <x:f>IF(COUNT(E116:G116)=0,"",E116+IF(F116="",0,F116)-IF(G116="",0,G116))</x:f>
      </x:c>
      <x:c r="I116" s="42" t="str">
        <x:f>IF(H116="","",MAX(0,L116-H116))</x:f>
      </x:c>
      <x:c r="J116" t="str">
        <x:f>IF(H116="","UNKNOWN - inventory not entered",IF(H116&lt;=D116,"REORDER NOW",IF(H116&lt;=1.2*D116,"WATCH","OK")))</x:f>
        <x:v>UNKNOWN - inventory not entered</x:v>
      </x:c>
      <x:c r="K116" t="str">
        <x:v>Medium</x:v>
      </x:c>
      <x:c r="L116" t="n">
        <x:v>1228</x:v>
      </x:c>
    </x:row>
    <x:row r="117">
      <x:c r="A117" t="n">
        <x:v>10</x:v>
      </x:c>
      <x:c r="B117" t="n">
        <x:v>24</x:v>
      </x:c>
      <x:c r="C117" t="str">
        <x:v>A</x:v>
      </x:c>
      <x:c r="D117" s="42" t="n">
        <x:v>858</x:v>
      </x:c>
      <x:c r="E117" s="44"/>
      <x:c r="F117" s="44"/>
      <x:c r="G117" s="44"/>
      <x:c r="H117" s="42" t="str">
        <x:f>IF(COUNT(E117:G117)=0,"",E117+IF(F117="",0,F117)-IF(G117="",0,G117))</x:f>
      </x:c>
      <x:c r="I117" s="42" t="str">
        <x:f>IF(H117="","",MAX(0,L117-H117))</x:f>
      </x:c>
      <x:c r="J117" t="str">
        <x:f>IF(H117="","UNKNOWN - inventory not entered",IF(H117&lt;=D117,"REORDER NOW",IF(H117&lt;=1.2*D117,"WATCH","OK")))</x:f>
        <x:v>UNKNOWN - inventory not entered</x:v>
      </x:c>
      <x:c r="K117" t="str">
        <x:v>Medium</x:v>
      </x:c>
      <x:c r="L117" t="n">
        <x:v>1259</x:v>
      </x:c>
    </x:row>
    <x:row r="118">
      <x:c r="A118" t="n">
        <x:v>9</x:v>
      </x:c>
      <x:c r="B118" t="n">
        <x:v>12</x:v>
      </x:c>
      <x:c r="C118" t="str">
        <x:v>A</x:v>
      </x:c>
      <x:c r="D118" s="42" t="n">
        <x:v>867</x:v>
      </x:c>
      <x:c r="E118" s="44"/>
      <x:c r="F118" s="44"/>
      <x:c r="G118" s="44"/>
      <x:c r="H118" s="42" t="str">
        <x:f>IF(COUNT(E118:G118)=0,"",E118+IF(F118="",0,F118)-IF(G118="",0,G118))</x:f>
      </x:c>
      <x:c r="I118" s="42" t="str">
        <x:f>IF(H118="","",MAX(0,L118-H118))</x:f>
      </x:c>
      <x:c r="J118" t="str">
        <x:f>IF(H118="","UNKNOWN - inventory not entered",IF(H118&lt;=D118,"REORDER NOW",IF(H118&lt;=1.2*D118,"WATCH","OK")))</x:f>
        <x:v>UNKNOWN - inventory not entered</x:v>
      </x:c>
      <x:c r="K118" t="str">
        <x:v>Medium</x:v>
      </x:c>
      <x:c r="L118" t="n">
        <x:v>1308</x:v>
      </x:c>
    </x:row>
    <x:row r="119">
      <x:c r="A119" t="n">
        <x:v>1</x:v>
      </x:c>
      <x:c r="B119" t="n">
        <x:v>25</x:v>
      </x:c>
      <x:c r="C119" t="str">
        <x:v>A</x:v>
      </x:c>
      <x:c r="D119" s="42" t="n">
        <x:v>904</x:v>
      </x:c>
      <x:c r="E119" s="44"/>
      <x:c r="F119" s="44"/>
      <x:c r="G119" s="44"/>
      <x:c r="H119" s="42" t="str">
        <x:f>IF(COUNT(E119:G119)=0,"",E119+IF(F119="",0,F119)-IF(G119="",0,G119))</x:f>
      </x:c>
      <x:c r="I119" s="42" t="str">
        <x:f>IF(H119="","",MAX(0,L119-H119))</x:f>
      </x:c>
      <x:c r="J119" t="str">
        <x:f>IF(H119="","UNKNOWN - inventory not entered",IF(H119&lt;=D119,"REORDER NOW",IF(H119&lt;=1.2*D119,"WATCH","OK")))</x:f>
        <x:v>UNKNOWN - inventory not entered</x:v>
      </x:c>
      <x:c r="K119" t="str">
        <x:v>Medium</x:v>
      </x:c>
      <x:c r="L119" t="n">
        <x:v>1321</x:v>
      </x:c>
    </x:row>
    <x:row r="120">
      <x:c r="A120" t="n">
        <x:v>4</x:v>
      </x:c>
      <x:c r="B120" t="n">
        <x:v>11</x:v>
      </x:c>
      <x:c r="C120" t="str">
        <x:v>A</x:v>
      </x:c>
      <x:c r="D120" s="42" t="n">
        <x:v>867</x:v>
      </x:c>
      <x:c r="E120" s="44"/>
      <x:c r="F120" s="44"/>
      <x:c r="G120" s="44"/>
      <x:c r="H120" s="42" t="str">
        <x:f>IF(COUNT(E120:G120)=0,"",E120+IF(F120="",0,F120)-IF(G120="",0,G120))</x:f>
      </x:c>
      <x:c r="I120" s="42" t="str">
        <x:f>IF(H120="","",MAX(0,L120-H120))</x:f>
      </x:c>
      <x:c r="J120" t="str">
        <x:f>IF(H120="","UNKNOWN - inventory not entered",IF(H120&lt;=D120,"REORDER NOW",IF(H120&lt;=1.2*D120,"WATCH","OK")))</x:f>
        <x:v>UNKNOWN - inventory not entered</x:v>
      </x:c>
      <x:c r="K120" t="str">
        <x:v>Medium</x:v>
      </x:c>
      <x:c r="L120" t="n">
        <x:v>1274</x:v>
      </x:c>
    </x:row>
    <x:row r="121">
      <x:c r="A121" t="n">
        <x:v>8</x:v>
      </x:c>
      <x:c r="B121" t="n">
        <x:v>31</x:v>
      </x:c>
      <x:c r="C121" t="str">
        <x:v>A</x:v>
      </x:c>
      <x:c r="D121" s="42" t="n">
        <x:v>839</x:v>
      </x:c>
      <x:c r="E121" s="44"/>
      <x:c r="F121" s="44"/>
      <x:c r="G121" s="44"/>
      <x:c r="H121" s="42" t="str">
        <x:f>IF(COUNT(E121:G121)=0,"",E121+IF(F121="",0,F121)-IF(G121="",0,G121))</x:f>
      </x:c>
      <x:c r="I121" s="42" t="str">
        <x:f>IF(H121="","",MAX(0,L121-H121))</x:f>
      </x:c>
      <x:c r="J121" t="str">
        <x:f>IF(H121="","UNKNOWN - inventory not entered",IF(H121&lt;=D121,"REORDER NOW",IF(H121&lt;=1.2*D121,"WATCH","OK")))</x:f>
        <x:v>UNKNOWN - inventory not entered</x:v>
      </x:c>
      <x:c r="K121" t="str">
        <x:v>Medium</x:v>
      </x:c>
      <x:c r="L121" t="n">
        <x:v>1246</x:v>
      </x:c>
    </x:row>
    <x:row r="122">
      <x:c r="A122" t="n">
        <x:v>8</x:v>
      </x:c>
      <x:c r="B122" t="n">
        <x:v>14</x:v>
      </x:c>
      <x:c r="C122" t="str">
        <x:v>A</x:v>
      </x:c>
      <x:c r="D122" s="42" t="n">
        <x:v>838</x:v>
      </x:c>
      <x:c r="E122" s="44"/>
      <x:c r="F122" s="44"/>
      <x:c r="G122" s="44"/>
      <x:c r="H122" s="42" t="str">
        <x:f>IF(COUNT(E122:G122)=0,"",E122+IF(F122="",0,F122)-IF(G122="",0,G122))</x:f>
      </x:c>
      <x:c r="I122" s="42" t="str">
        <x:f>IF(H122="","",MAX(0,L122-H122))</x:f>
      </x:c>
      <x:c r="J122" t="str">
        <x:f>IF(H122="","UNKNOWN - inventory not entered",IF(H122&lt;=D122,"REORDER NOW",IF(H122&lt;=1.2*D122,"WATCH","OK")))</x:f>
        <x:v>UNKNOWN - inventory not entered</x:v>
      </x:c>
      <x:c r="K122" t="str">
        <x:v>Medium</x:v>
      </x:c>
      <x:c r="L122" t="n">
        <x:v>1255</x:v>
      </x:c>
    </x:row>
    <x:row r="123">
      <x:c r="A123" t="n">
        <x:v>8</x:v>
      </x:c>
      <x:c r="B123" t="n">
        <x:v>46</x:v>
      </x:c>
      <x:c r="C123" t="str">
        <x:v>A</x:v>
      </x:c>
      <x:c r="D123" s="42" t="n">
        <x:v>921</x:v>
      </x:c>
      <x:c r="E123" s="44"/>
      <x:c r="F123" s="44"/>
      <x:c r="G123" s="44"/>
      <x:c r="H123" s="42" t="str">
        <x:f>IF(COUNT(E123:G123)=0,"",E123+IF(F123="",0,F123)-IF(G123="",0,G123))</x:f>
      </x:c>
      <x:c r="I123" s="42" t="str">
        <x:f>IF(H123="","",MAX(0,L123-H123))</x:f>
      </x:c>
      <x:c r="J123" t="str">
        <x:f>IF(H123="","UNKNOWN - inventory not entered",IF(H123&lt;=D123,"REORDER NOW",IF(H123&lt;=1.2*D123,"WATCH","OK")))</x:f>
        <x:v>UNKNOWN - inventory not entered</x:v>
      </x:c>
      <x:c r="K123" t="str">
        <x:v>Medium</x:v>
      </x:c>
      <x:c r="L123" t="n">
        <x:v>1310</x:v>
      </x:c>
    </x:row>
    <x:row r="124">
      <x:c r="A124" t="n">
        <x:v>8</x:v>
      </x:c>
      <x:c r="B124" t="n">
        <x:v>7</x:v>
      </x:c>
      <x:c r="C124" t="str">
        <x:v>A</x:v>
      </x:c>
      <x:c r="D124" s="42" t="n">
        <x:v>841</x:v>
      </x:c>
      <x:c r="E124" s="44"/>
      <x:c r="F124" s="44"/>
      <x:c r="G124" s="44"/>
      <x:c r="H124" s="42" t="str">
        <x:f>IF(COUNT(E124:G124)=0,"",E124+IF(F124="",0,F124)-IF(G124="",0,G124))</x:f>
      </x:c>
      <x:c r="I124" s="42" t="str">
        <x:f>IF(H124="","",MAX(0,L124-H124))</x:f>
      </x:c>
      <x:c r="J124" t="str">
        <x:f>IF(H124="","UNKNOWN - inventory not entered",IF(H124&lt;=D124,"REORDER NOW",IF(H124&lt;=1.2*D124,"WATCH","OK")))</x:f>
        <x:v>UNKNOWN - inventory not entered</x:v>
      </x:c>
      <x:c r="K124" t="str">
        <x:v>Medium</x:v>
      </x:c>
      <x:c r="L124" t="n">
        <x:v>1260</x:v>
      </x:c>
    </x:row>
    <x:row r="125">
      <x:c r="A125" t="n">
        <x:v>8</x:v>
      </x:c>
      <x:c r="B125" t="n">
        <x:v>2</x:v>
      </x:c>
      <x:c r="C125" t="str">
        <x:v>A</x:v>
      </x:c>
      <x:c r="D125" s="42" t="n">
        <x:v>855</x:v>
      </x:c>
      <x:c r="E125" s="44"/>
      <x:c r="F125" s="44"/>
      <x:c r="G125" s="44"/>
      <x:c r="H125" s="42" t="str">
        <x:f>IF(COUNT(E125:G125)=0,"",E125+IF(F125="",0,F125)-IF(G125="",0,G125))</x:f>
      </x:c>
      <x:c r="I125" s="42" t="str">
        <x:f>IF(H125="","",MAX(0,L125-H125))</x:f>
      </x:c>
      <x:c r="J125" t="str">
        <x:f>IF(H125="","UNKNOWN - inventory not entered",IF(H125&lt;=D125,"REORDER NOW",IF(H125&lt;=1.2*D125,"WATCH","OK")))</x:f>
        <x:v>UNKNOWN - inventory not entered</x:v>
      </x:c>
      <x:c r="K125" t="str">
        <x:v>Medium</x:v>
      </x:c>
      <x:c r="L125" t="n">
        <x:v>1258</x:v>
      </x:c>
    </x:row>
    <x:row r="126">
      <x:c r="A126" t="n">
        <x:v>4</x:v>
      </x:c>
      <x:c r="B126" t="n">
        <x:v>24</x:v>
      </x:c>
      <x:c r="C126" t="str">
        <x:v>A</x:v>
      </x:c>
      <x:c r="D126" s="42" t="n">
        <x:v>843</x:v>
      </x:c>
      <x:c r="E126" s="44"/>
      <x:c r="F126" s="44"/>
      <x:c r="G126" s="44"/>
      <x:c r="H126" s="42" t="str">
        <x:f>IF(COUNT(E126:G126)=0,"",E126+IF(F126="",0,F126)-IF(G126="",0,G126))</x:f>
      </x:c>
      <x:c r="I126" s="42" t="str">
        <x:f>IF(H126="","",MAX(0,L126-H126))</x:f>
      </x:c>
      <x:c r="J126" t="str">
        <x:f>IF(H126="","UNKNOWN - inventory not entered",IF(H126&lt;=D126,"REORDER NOW",IF(H126&lt;=1.2*D126,"WATCH","OK")))</x:f>
        <x:v>UNKNOWN - inventory not entered</x:v>
      </x:c>
      <x:c r="K126" t="str">
        <x:v>Medium</x:v>
      </x:c>
      <x:c r="L126" t="n">
        <x:v>1268</x:v>
      </x:c>
    </x:row>
    <x:row r="127">
      <x:c r="A127" t="n">
        <x:v>4</x:v>
      </x:c>
      <x:c r="B127" t="n">
        <x:v>35</x:v>
      </x:c>
      <x:c r="C127" t="str">
        <x:v>A</x:v>
      </x:c>
      <x:c r="D127" s="42" t="n">
        <x:v>807</x:v>
      </x:c>
      <x:c r="E127" s="44"/>
      <x:c r="F127" s="44"/>
      <x:c r="G127" s="44"/>
      <x:c r="H127" s="42" t="str">
        <x:f>IF(COUNT(E127:G127)=0,"",E127+IF(F127="",0,F127)-IF(G127="",0,G127))</x:f>
      </x:c>
      <x:c r="I127" s="42" t="str">
        <x:f>IF(H127="","",MAX(0,L127-H127))</x:f>
      </x:c>
      <x:c r="J127" t="str">
        <x:f>IF(H127="","UNKNOWN - inventory not entered",IF(H127&lt;=D127,"REORDER NOW",IF(H127&lt;=1.2*D127,"WATCH","OK")))</x:f>
        <x:v>UNKNOWN - inventory not entered</x:v>
      </x:c>
      <x:c r="K127" t="str">
        <x:v>Medium</x:v>
      </x:c>
      <x:c r="L127" t="n">
        <x:v>1225</x:v>
      </x:c>
    </x:row>
    <x:row r="128">
      <x:c r="A128" t="n">
        <x:v>8</x:v>
      </x:c>
      <x:c r="B128" t="n">
        <x:v>6</x:v>
      </x:c>
      <x:c r="C128" t="str">
        <x:v>A</x:v>
      </x:c>
      <x:c r="D128" s="42" t="n">
        <x:v>907</x:v>
      </x:c>
      <x:c r="E128" s="44"/>
      <x:c r="F128" s="44"/>
      <x:c r="G128" s="44"/>
      <x:c r="H128" s="42" t="str">
        <x:f>IF(COUNT(E128:G128)=0,"",E128+IF(F128="",0,F128)-IF(G128="",0,G128))</x:f>
      </x:c>
      <x:c r="I128" s="42" t="str">
        <x:f>IF(H128="","",MAX(0,L128-H128))</x:f>
      </x:c>
      <x:c r="J128" t="str">
        <x:f>IF(H128="","UNKNOWN - inventory not entered",IF(H128&lt;=D128,"REORDER NOW",IF(H128&lt;=1.2*D128,"WATCH","OK")))</x:f>
        <x:v>UNKNOWN - inventory not entered</x:v>
      </x:c>
      <x:c r="K128" t="str">
        <x:v>Medium</x:v>
      </x:c>
      <x:c r="L128" t="n">
        <x:v>1275</x:v>
      </x:c>
    </x:row>
    <x:row r="129">
      <x:c r="A129" t="n">
        <x:v>1</x:v>
      </x:c>
      <x:c r="B129" t="n">
        <x:v>36</x:v>
      </x:c>
      <x:c r="C129" t="str">
        <x:v>A</x:v>
      </x:c>
      <x:c r="D129" s="42" t="n">
        <x:v>828</x:v>
      </x:c>
      <x:c r="E129" s="44"/>
      <x:c r="F129" s="44"/>
      <x:c r="G129" s="44"/>
      <x:c r="H129" s="42" t="str">
        <x:f>IF(COUNT(E129:G129)=0,"",E129+IF(F129="",0,F129)-IF(G129="",0,G129))</x:f>
      </x:c>
      <x:c r="I129" s="42" t="str">
        <x:f>IF(H129="","",MAX(0,L129-H129))</x:f>
      </x:c>
      <x:c r="J129" t="str">
        <x:f>IF(H129="","UNKNOWN - inventory not entered",IF(H129&lt;=D129,"REORDER NOW",IF(H129&lt;=1.2*D129,"WATCH","OK")))</x:f>
        <x:v>UNKNOWN - inventory not entered</x:v>
      </x:c>
      <x:c r="K129" t="str">
        <x:v>Medium</x:v>
      </x:c>
      <x:c r="L129" t="n">
        <x:v>1215</x:v>
      </x:c>
    </x:row>
    <x:row r="130">
      <x:c r="A130" t="n">
        <x:v>9</x:v>
      </x:c>
      <x:c r="B130" t="n">
        <x:v>24</x:v>
      </x:c>
      <x:c r="C130" t="str">
        <x:v>A</x:v>
      </x:c>
      <x:c r="D130" s="42" t="n">
        <x:v>816</x:v>
      </x:c>
      <x:c r="E130" s="44"/>
      <x:c r="F130" s="44"/>
      <x:c r="G130" s="44"/>
      <x:c r="H130" s="42" t="str">
        <x:f>IF(COUNT(E130:G130)=0,"",E130+IF(F130="",0,F130)-IF(G130="",0,G130))</x:f>
      </x:c>
      <x:c r="I130" s="42" t="str">
        <x:f>IF(H130="","",MAX(0,L130-H130))</x:f>
      </x:c>
      <x:c r="J130" t="str">
        <x:f>IF(H130="","UNKNOWN - inventory not entered",IF(H130&lt;=D130,"REORDER NOW",IF(H130&lt;=1.2*D130,"WATCH","OK")))</x:f>
        <x:v>UNKNOWN - inventory not entered</x:v>
      </x:c>
      <x:c r="K130" t="str">
        <x:v>Medium</x:v>
      </x:c>
      <x:c r="L130" t="n">
        <x:v>1230</x:v>
      </x:c>
    </x:row>
    <x:row r="131">
      <x:c r="A131" t="n">
        <x:v>9</x:v>
      </x:c>
      <x:c r="B131" t="n">
        <x:v>50</x:v>
      </x:c>
      <x:c r="C131" t="str">
        <x:v>A</x:v>
      </x:c>
      <x:c r="D131" s="42" t="n">
        <x:v>804</x:v>
      </x:c>
      <x:c r="E131" s="44"/>
      <x:c r="F131" s="44"/>
      <x:c r="G131" s="44"/>
      <x:c r="H131" s="42" t="str">
        <x:f>IF(COUNT(E131:G131)=0,"",E131+IF(F131="",0,F131)-IF(G131="",0,G131))</x:f>
      </x:c>
      <x:c r="I131" s="42" t="str">
        <x:f>IF(H131="","",MAX(0,L131-H131))</x:f>
      </x:c>
      <x:c r="J131" t="str">
        <x:f>IF(H131="","UNKNOWN - inventory not entered",IF(H131&lt;=D131,"REORDER NOW",IF(H131&lt;=1.2*D131,"WATCH","OK")))</x:f>
        <x:v>UNKNOWN - inventory not entered</x:v>
      </x:c>
      <x:c r="K131" t="str">
        <x:v>Medium</x:v>
      </x:c>
      <x:c r="L131" t="n">
        <x:v>1194</x:v>
      </x:c>
    </x:row>
    <x:row r="132">
      <x:c r="A132" t="n">
        <x:v>9</x:v>
      </x:c>
      <x:c r="B132" t="n">
        <x:v>35</x:v>
      </x:c>
      <x:c r="C132" t="str">
        <x:v>A</x:v>
      </x:c>
      <x:c r="D132" s="42" t="n">
        <x:v>832</x:v>
      </x:c>
      <x:c r="E132" s="44"/>
      <x:c r="F132" s="44"/>
      <x:c r="G132" s="44"/>
      <x:c r="H132" s="42" t="str">
        <x:f>IF(COUNT(E132:G132)=0,"",E132+IF(F132="",0,F132)-IF(G132="",0,G132))</x:f>
      </x:c>
      <x:c r="I132" s="42" t="str">
        <x:f>IF(H132="","",MAX(0,L132-H132))</x:f>
      </x:c>
      <x:c r="J132" t="str">
        <x:f>IF(H132="","UNKNOWN - inventory not entered",IF(H132&lt;=D132,"REORDER NOW",IF(H132&lt;=1.2*D132,"WATCH","OK")))</x:f>
        <x:v>UNKNOWN - inventory not entered</x:v>
      </x:c>
      <x:c r="K132" t="str">
        <x:v>Medium</x:v>
      </x:c>
      <x:c r="L132" t="n">
        <x:v>1221</x:v>
      </x:c>
    </x:row>
    <x:row r="133">
      <x:c r="A133" t="n">
        <x:v>1</x:v>
      </x:c>
      <x:c r="B133" t="n">
        <x:v>8</x:v>
      </x:c>
      <x:c r="C133" t="str">
        <x:v>A</x:v>
      </x:c>
      <x:c r="D133" s="42" t="n">
        <x:v>845</x:v>
      </x:c>
      <x:c r="E133" s="44"/>
      <x:c r="F133" s="44"/>
      <x:c r="G133" s="44"/>
      <x:c r="H133" s="42" t="str">
        <x:f>IF(COUNT(E133:G133)=0,"",E133+IF(F133="",0,F133)-IF(G133="",0,G133))</x:f>
      </x:c>
      <x:c r="I133" s="42" t="str">
        <x:f>IF(H133="","",MAX(0,L133-H133))</x:f>
      </x:c>
      <x:c r="J133" t="str">
        <x:f>IF(H133="","UNKNOWN - inventory not entered",IF(H133&lt;=D133,"REORDER NOW",IF(H133&lt;=1.2*D133,"WATCH","OK")))</x:f>
        <x:v>UNKNOWN - inventory not entered</x:v>
      </x:c>
      <x:c r="K133" t="str">
        <x:v>Medium</x:v>
      </x:c>
      <x:c r="L133" t="n">
        <x:v>1224</x:v>
      </x:c>
    </x:row>
    <x:row r="134">
      <x:c r="A134" t="n">
        <x:v>4</x:v>
      </x:c>
      <x:c r="B134" t="n">
        <x:v>50</x:v>
      </x:c>
      <x:c r="C134" t="str">
        <x:v>A</x:v>
      </x:c>
      <x:c r="D134" s="42" t="n">
        <x:v>838</x:v>
      </x:c>
      <x:c r="E134" s="44"/>
      <x:c r="F134" s="44"/>
      <x:c r="G134" s="44"/>
      <x:c r="H134" s="42" t="str">
        <x:f>IF(COUNT(E134:G134)=0,"",E134+IF(F134="",0,F134)-IF(G134="",0,G134))</x:f>
      </x:c>
      <x:c r="I134" s="42" t="str">
        <x:f>IF(H134="","",MAX(0,L134-H134))</x:f>
      </x:c>
      <x:c r="J134" t="str">
        <x:f>IF(H134="","UNKNOWN - inventory not entered",IF(H134&lt;=D134,"REORDER NOW",IF(H134&lt;=1.2*D134,"WATCH","OK")))</x:f>
        <x:v>UNKNOWN - inventory not entered</x:v>
      </x:c>
      <x:c r="K134" t="str">
        <x:v>Medium</x:v>
      </x:c>
      <x:c r="L134" t="n">
        <x:v>1208</x:v>
      </x:c>
    </x:row>
    <x:row r="135">
      <x:c r="A135" t="n">
        <x:v>6</x:v>
      </x:c>
      <x:c r="B135" t="n">
        <x:v>28</x:v>
      </x:c>
      <x:c r="C135" t="str">
        <x:v>A</x:v>
      </x:c>
      <x:c r="D135" s="42" t="n">
        <x:v>809</x:v>
      </x:c>
      <x:c r="E135" s="44"/>
      <x:c r="F135" s="44"/>
      <x:c r="G135" s="44"/>
      <x:c r="H135" s="42" t="str">
        <x:f>IF(COUNT(E135:G135)=0,"",E135+IF(F135="",0,F135)-IF(G135="",0,G135))</x:f>
      </x:c>
      <x:c r="I135" s="42" t="str">
        <x:f>IF(H135="","",MAX(0,L135-H135))</x:f>
      </x:c>
      <x:c r="J135" t="str">
        <x:f>IF(H135="","UNKNOWN - inventory not entered",IF(H135&lt;=D135,"REORDER NOW",IF(H135&lt;=1.2*D135,"WATCH","OK")))</x:f>
        <x:v>UNKNOWN - inventory not entered</x:v>
      </x:c>
      <x:c r="K135" t="str">
        <x:v>Medium</x:v>
      </x:c>
      <x:c r="L135" t="n">
        <x:v>1185</x:v>
      </x:c>
    </x:row>
    <x:row r="136">
      <x:c r="A136" t="n">
        <x:v>3</x:v>
      </x:c>
      <x:c r="B136" t="n">
        <x:v>31</x:v>
      </x:c>
      <x:c r="C136" t="str">
        <x:v>A</x:v>
      </x:c>
      <x:c r="D136" s="42" t="n">
        <x:v>802</x:v>
      </x:c>
      <x:c r="E136" s="44"/>
      <x:c r="F136" s="44"/>
      <x:c r="G136" s="44"/>
      <x:c r="H136" s="42" t="str">
        <x:f>IF(COUNT(E136:G136)=0,"",E136+IF(F136="",0,F136)-IF(G136="",0,G136))</x:f>
      </x:c>
      <x:c r="I136" s="42" t="str">
        <x:f>IF(H136="","",MAX(0,L136-H136))</x:f>
      </x:c>
      <x:c r="J136" t="str">
        <x:f>IF(H136="","UNKNOWN - inventory not entered",IF(H136&lt;=D136,"REORDER NOW",IF(H136&lt;=1.2*D136,"WATCH","OK")))</x:f>
        <x:v>UNKNOWN - inventory not entered</x:v>
      </x:c>
      <x:c r="K136" t="str">
        <x:v>Medium</x:v>
      </x:c>
      <x:c r="L136" t="n">
        <x:v>1155</x:v>
      </x:c>
    </x:row>
    <x:row r="137">
      <x:c r="A137" t="n">
        <x:v>3</x:v>
      </x:c>
      <x:c r="B137" t="n">
        <x:v>7</x:v>
      </x:c>
      <x:c r="C137" t="str">
        <x:v>A</x:v>
      </x:c>
      <x:c r="D137" s="42" t="n">
        <x:v>812</x:v>
      </x:c>
      <x:c r="E137" s="44"/>
      <x:c r="F137" s="44"/>
      <x:c r="G137" s="44"/>
      <x:c r="H137" s="42" t="str">
        <x:f>IF(COUNT(E137:G137)=0,"",E137+IF(F137="",0,F137)-IF(G137="",0,G137))</x:f>
      </x:c>
      <x:c r="I137" s="42" t="str">
        <x:f>IF(H137="","",MAX(0,L137-H137))</x:f>
      </x:c>
      <x:c r="J137" t="str">
        <x:f>IF(H137="","UNKNOWN - inventory not entered",IF(H137&lt;=D137,"REORDER NOW",IF(H137&lt;=1.2*D137,"WATCH","OK")))</x:f>
        <x:v>UNKNOWN - inventory not entered</x:v>
      </x:c>
      <x:c r="K137" t="str">
        <x:v>Medium</x:v>
      </x:c>
      <x:c r="L137" t="n">
        <x:v>1211</x:v>
      </x:c>
    </x:row>
    <x:row r="138">
      <x:c r="A138" t="n">
        <x:v>5</x:v>
      </x:c>
      <x:c r="B138" t="n">
        <x:v>28</x:v>
      </x:c>
      <x:c r="C138" t="str">
        <x:v>A</x:v>
      </x:c>
      <x:c r="D138" s="42" t="n">
        <x:v>807</x:v>
      </x:c>
      <x:c r="E138" s="44"/>
      <x:c r="F138" s="44"/>
      <x:c r="G138" s="44"/>
      <x:c r="H138" s="42" t="str">
        <x:f>IF(COUNT(E138:G138)=0,"",E138+IF(F138="",0,F138)-IF(G138="",0,G138))</x:f>
      </x:c>
      <x:c r="I138" s="42" t="str">
        <x:f>IF(H138="","",MAX(0,L138-H138))</x:f>
      </x:c>
      <x:c r="J138" t="str">
        <x:f>IF(H138="","UNKNOWN - inventory not entered",IF(H138&lt;=D138,"REORDER NOW",IF(H138&lt;=1.2*D138,"WATCH","OK")))</x:f>
        <x:v>UNKNOWN - inventory not entered</x:v>
      </x:c>
      <x:c r="K138" t="str">
        <x:v>Medium</x:v>
      </x:c>
      <x:c r="L138" t="n">
        <x:v>1188</x:v>
      </x:c>
    </x:row>
    <x:row r="139">
      <x:c r="A139" t="n">
        <x:v>2</x:v>
      </x:c>
      <x:c r="B139" t="n">
        <x:v>48</x:v>
      </x:c>
      <x:c r="C139" t="str">
        <x:v>A</x:v>
      </x:c>
      <x:c r="D139" s="42" t="n">
        <x:v>811</x:v>
      </x:c>
      <x:c r="E139" s="44"/>
      <x:c r="F139" s="44"/>
      <x:c r="G139" s="44"/>
      <x:c r="H139" s="42" t="str">
        <x:f>IF(COUNT(E139:G139)=0,"",E139+IF(F139="",0,F139)-IF(G139="",0,G139))</x:f>
      </x:c>
      <x:c r="I139" s="42" t="str">
        <x:f>IF(H139="","",MAX(0,L139-H139))</x:f>
      </x:c>
      <x:c r="J139" t="str">
        <x:f>IF(H139="","UNKNOWN - inventory not entered",IF(H139&lt;=D139,"REORDER NOW",IF(H139&lt;=1.2*D139,"WATCH","OK")))</x:f>
        <x:v>UNKNOWN - inventory not entered</x:v>
      </x:c>
      <x:c r="K139" t="str">
        <x:v>Medium</x:v>
      </x:c>
      <x:c r="L139" t="n">
        <x:v>1172</x:v>
      </x:c>
    </x:row>
    <x:row r="140">
      <x:c r="A140" t="n">
        <x:v>2</x:v>
      </x:c>
      <x:c r="B140" t="n">
        <x:v>9</x:v>
      </x:c>
      <x:c r="C140" t="str">
        <x:v>A</x:v>
      </x:c>
      <x:c r="D140" s="42" t="n">
        <x:v>821</x:v>
      </x:c>
      <x:c r="E140" s="44"/>
      <x:c r="F140" s="44"/>
      <x:c r="G140" s="44"/>
      <x:c r="H140" s="42" t="str">
        <x:f>IF(COUNT(E140:G140)=0,"",E140+IF(F140="",0,F140)-IF(G140="",0,G140))</x:f>
      </x:c>
      <x:c r="I140" s="42" t="str">
        <x:f>IF(H140="","",MAX(0,L140-H140))</x:f>
      </x:c>
      <x:c r="J140" t="str">
        <x:f>IF(H140="","UNKNOWN - inventory not entered",IF(H140&lt;=D140,"REORDER NOW",IF(H140&lt;=1.2*D140,"WATCH","OK")))</x:f>
        <x:v>UNKNOWN - inventory not entered</x:v>
      </x:c>
      <x:c r="K140" t="str">
        <x:v>Medium</x:v>
      </x:c>
      <x:c r="L140" t="n">
        <x:v>1182</x:v>
      </x:c>
    </x:row>
    <x:row r="141">
      <x:c r="A141" t="n">
        <x:v>1</x:v>
      </x:c>
      <x:c r="B141" t="n">
        <x:v>10</x:v>
      </x:c>
      <x:c r="C141" t="str">
        <x:v>A</x:v>
      </x:c>
      <x:c r="D141" s="42" t="n">
        <x:v>858</x:v>
      </x:c>
      <x:c r="E141" s="44"/>
      <x:c r="F141" s="44"/>
      <x:c r="G141" s="44"/>
      <x:c r="H141" s="42" t="str">
        <x:f>IF(COUNT(E141:G141)=0,"",E141+IF(F141="",0,F141)-IF(G141="",0,G141))</x:f>
      </x:c>
      <x:c r="I141" s="42" t="str">
        <x:f>IF(H141="","",MAX(0,L141-H141))</x:f>
      </x:c>
      <x:c r="J141" t="str">
        <x:f>IF(H141="","UNKNOWN - inventory not entered",IF(H141&lt;=D141,"REORDER NOW",IF(H141&lt;=1.2*D141,"WATCH","OK")))</x:f>
        <x:v>UNKNOWN - inventory not entered</x:v>
      </x:c>
      <x:c r="K141" t="str">
        <x:v>Medium</x:v>
      </x:c>
      <x:c r="L141" t="n">
        <x:v>1262</x:v>
      </x:c>
    </x:row>
    <x:row r="142">
      <x:c r="A142" t="n">
        <x:v>10</x:v>
      </x:c>
      <x:c r="B142" t="n">
        <x:v>2</x:v>
      </x:c>
      <x:c r="C142" t="str">
        <x:v>A</x:v>
      </x:c>
      <x:c r="D142" s="42" t="n">
        <x:v>792</x:v>
      </x:c>
      <x:c r="E142" s="44"/>
      <x:c r="F142" s="44"/>
      <x:c r="G142" s="44"/>
      <x:c r="H142" s="42" t="str">
        <x:f>IF(COUNT(E142:G142)=0,"",E142+IF(F142="",0,F142)-IF(G142="",0,G142))</x:f>
      </x:c>
      <x:c r="I142" s="42" t="str">
        <x:f>IF(H142="","",MAX(0,L142-H142))</x:f>
      </x:c>
      <x:c r="J142" t="str">
        <x:f>IF(H142="","UNKNOWN - inventory not entered",IF(H142&lt;=D142,"REORDER NOW",IF(H142&lt;=1.2*D142,"WATCH","OK")))</x:f>
        <x:v>UNKNOWN - inventory not entered</x:v>
      </x:c>
      <x:c r="K142" t="str">
        <x:v>Medium</x:v>
      </x:c>
      <x:c r="L142" t="n">
        <x:v>1162</x:v>
      </x:c>
    </x:row>
    <x:row r="143">
      <x:c r="A143" t="n">
        <x:v>3</x:v>
      </x:c>
      <x:c r="B143" t="n">
        <x:v>2</x:v>
      </x:c>
      <x:c r="C143" t="str">
        <x:v>A</x:v>
      </x:c>
      <x:c r="D143" s="42" t="n">
        <x:v>812</x:v>
      </x:c>
      <x:c r="E143" s="44"/>
      <x:c r="F143" s="44"/>
      <x:c r="G143" s="44"/>
      <x:c r="H143" s="42" t="str">
        <x:f>IF(COUNT(E143:G143)=0,"",E143+IF(F143="",0,F143)-IF(G143="",0,G143))</x:f>
      </x:c>
      <x:c r="I143" s="42" t="str">
        <x:f>IF(H143="","",MAX(0,L143-H143))</x:f>
      </x:c>
      <x:c r="J143" t="str">
        <x:f>IF(H143="","UNKNOWN - inventory not entered",IF(H143&lt;=D143,"REORDER NOW",IF(H143&lt;=1.2*D143,"WATCH","OK")))</x:f>
        <x:v>UNKNOWN - inventory not entered</x:v>
      </x:c>
      <x:c r="K143" t="str">
        <x:v>Medium</x:v>
      </x:c>
      <x:c r="L143" t="n">
        <x:v>1180</x:v>
      </x:c>
    </x:row>
    <x:row r="144">
      <x:c r="A144" t="n">
        <x:v>10</x:v>
      </x:c>
      <x:c r="B144" t="n">
        <x:v>31</x:v>
      </x:c>
      <x:c r="C144" t="str">
        <x:v>A</x:v>
      </x:c>
      <x:c r="D144" s="42" t="n">
        <x:v>743</x:v>
      </x:c>
      <x:c r="E144" s="44"/>
      <x:c r="F144" s="44"/>
      <x:c r="G144" s="44"/>
      <x:c r="H144" s="42" t="str">
        <x:f>IF(COUNT(E144:G144)=0,"",E144+IF(F144="",0,F144)-IF(G144="",0,G144))</x:f>
      </x:c>
      <x:c r="I144" s="42" t="str">
        <x:f>IF(H144="","",MAX(0,L144-H144))</x:f>
      </x:c>
      <x:c r="J144" t="str">
        <x:f>IF(H144="","UNKNOWN - inventory not entered",IF(H144&lt;=D144,"REORDER NOW",IF(H144&lt;=1.2*D144,"WATCH","OK")))</x:f>
        <x:v>UNKNOWN - inventory not entered</x:v>
      </x:c>
      <x:c r="K144" t="str">
        <x:v>Medium</x:v>
      </x:c>
      <x:c r="L144" t="n">
        <x:v>1133</x:v>
      </x:c>
    </x:row>
    <x:row r="145">
      <x:c r="A145" t="n">
        <x:v>3</x:v>
      </x:c>
      <x:c r="B145" t="n">
        <x:v>14</x:v>
      </x:c>
      <x:c r="C145" t="str">
        <x:v>A</x:v>
      </x:c>
      <x:c r="D145" s="42" t="n">
        <x:v>852</x:v>
      </x:c>
      <x:c r="E145" s="44"/>
      <x:c r="F145" s="44"/>
      <x:c r="G145" s="44"/>
      <x:c r="H145" s="42" t="str">
        <x:f>IF(COUNT(E145:G145)=0,"",E145+IF(F145="",0,F145)-IF(G145="",0,G145))</x:f>
      </x:c>
      <x:c r="I145" s="42" t="str">
        <x:f>IF(H145="","",MAX(0,L145-H145))</x:f>
      </x:c>
      <x:c r="J145" t="str">
        <x:f>IF(H145="","UNKNOWN - inventory not entered",IF(H145&lt;=D145,"REORDER NOW",IF(H145&lt;=1.2*D145,"WATCH","OK")))</x:f>
        <x:v>UNKNOWN - inventory not entered</x:v>
      </x:c>
      <x:c r="K145" t="str">
        <x:v>Medium</x:v>
      </x:c>
      <x:c r="L145" t="n">
        <x:v>1212</x:v>
      </x:c>
    </x:row>
    <x:row r="146">
      <x:c r="A146" t="n">
        <x:v>3</x:v>
      </x:c>
      <x:c r="B146" t="n">
        <x:v>6</x:v>
      </x:c>
      <x:c r="C146" t="str">
        <x:v>A</x:v>
      </x:c>
      <x:c r="D146" s="42" t="n">
        <x:v>826</x:v>
      </x:c>
      <x:c r="E146" s="44"/>
      <x:c r="F146" s="44"/>
      <x:c r="G146" s="44"/>
      <x:c r="H146" s="42" t="str">
        <x:f>IF(COUNT(E146:G146)=0,"",E146+IF(F146="",0,F146)-IF(G146="",0,G146))</x:f>
      </x:c>
      <x:c r="I146" s="42" t="str">
        <x:f>IF(H146="","",MAX(0,L146-H146))</x:f>
      </x:c>
      <x:c r="J146" t="str">
        <x:f>IF(H146="","UNKNOWN - inventory not entered",IF(H146&lt;=D146,"REORDER NOW",IF(H146&lt;=1.2*D146,"WATCH","OK")))</x:f>
        <x:v>UNKNOWN - inventory not entered</x:v>
      </x:c>
      <x:c r="K146" t="str">
        <x:v>Medium</x:v>
      </x:c>
      <x:c r="L146" t="n">
        <x:v>1196</x:v>
      </x:c>
    </x:row>
    <x:row r="147">
      <x:c r="A147" t="n">
        <x:v>3</x:v>
      </x:c>
      <x:c r="B147" t="n">
        <x:v>46</x:v>
      </x:c>
      <x:c r="C147" t="str">
        <x:v>A</x:v>
      </x:c>
      <x:c r="D147" s="42" t="n">
        <x:v>778</x:v>
      </x:c>
      <x:c r="E147" s="44"/>
      <x:c r="F147" s="44"/>
      <x:c r="G147" s="44"/>
      <x:c r="H147" s="42" t="str">
        <x:f>IF(COUNT(E147:G147)=0,"",E147+IF(F147="",0,F147)-IF(G147="",0,G147))</x:f>
      </x:c>
      <x:c r="I147" s="42" t="str">
        <x:f>IF(H147="","",MAX(0,L147-H147))</x:f>
      </x:c>
      <x:c r="J147" t="str">
        <x:f>IF(H147="","UNKNOWN - inventory not entered",IF(H147&lt;=D147,"REORDER NOW",IF(H147&lt;=1.2*D147,"WATCH","OK")))</x:f>
        <x:v>UNKNOWN - inventory not entered</x:v>
      </x:c>
      <x:c r="K147" t="str">
        <x:v>Medium</x:v>
      </x:c>
      <x:c r="L147" t="n">
        <x:v>1151</x:v>
      </x:c>
    </x:row>
    <x:row r="148">
      <x:c r="A148" t="n">
        <x:v>5</x:v>
      </x:c>
      <x:c r="B148" t="n">
        <x:v>15</x:v>
      </x:c>
      <x:c r="C148" t="str">
        <x:v>A</x:v>
      </x:c>
      <x:c r="D148" s="42" t="n">
        <x:v>846</x:v>
      </x:c>
      <x:c r="E148" s="44"/>
      <x:c r="F148" s="44"/>
      <x:c r="G148" s="44"/>
      <x:c r="H148" s="42" t="str">
        <x:f>IF(COUNT(E148:G148)=0,"",E148+IF(F148="",0,F148)-IF(G148="",0,G148))</x:f>
      </x:c>
      <x:c r="I148" s="42" t="str">
        <x:f>IF(H148="","",MAX(0,L148-H148))</x:f>
      </x:c>
      <x:c r="J148" t="str">
        <x:f>IF(H148="","UNKNOWN - inventory not entered",IF(H148&lt;=D148,"REORDER NOW",IF(H148&lt;=1.2*D148,"WATCH","OK")))</x:f>
        <x:v>UNKNOWN - inventory not entered</x:v>
      </x:c>
      <x:c r="K148" t="str">
        <x:v>Medium</x:v>
      </x:c>
      <x:c r="L148" t="n">
        <x:v>1213</x:v>
      </x:c>
    </x:row>
    <x:row r="149">
      <x:c r="A149" t="n">
        <x:v>2</x:v>
      </x:c>
      <x:c r="B149" t="n">
        <x:v>43</x:v>
      </x:c>
      <x:c r="C149" t="str">
        <x:v>A</x:v>
      </x:c>
      <x:c r="D149" s="42" t="n">
        <x:v>803</x:v>
      </x:c>
      <x:c r="E149" s="44"/>
      <x:c r="F149" s="44"/>
      <x:c r="G149" s="44"/>
      <x:c r="H149" s="42" t="str">
        <x:f>IF(COUNT(E149:G149)=0,"",E149+IF(F149="",0,F149)-IF(G149="",0,G149))</x:f>
      </x:c>
      <x:c r="I149" s="42" t="str">
        <x:f>IF(H149="","",MAX(0,L149-H149))</x:f>
      </x:c>
      <x:c r="J149" t="str">
        <x:f>IF(H149="","UNKNOWN - inventory not entered",IF(H149&lt;=D149,"REORDER NOW",IF(H149&lt;=1.2*D149,"WATCH","OK")))</x:f>
        <x:v>UNKNOWN - inventory not entered</x:v>
      </x:c>
      <x:c r="K149" t="str">
        <x:v>Medium</x:v>
      </x:c>
      <x:c r="L149" t="n">
        <x:v>1148</x:v>
      </x:c>
    </x:row>
    <x:row r="150">
      <x:c r="A150" t="n">
        <x:v>6</x:v>
      </x:c>
      <x:c r="B150" t="n">
        <x:v>15</x:v>
      </x:c>
      <x:c r="C150" t="str">
        <x:v>A</x:v>
      </x:c>
      <x:c r="D150" s="42" t="n">
        <x:v>798</x:v>
      </x:c>
      <x:c r="E150" s="44"/>
      <x:c r="F150" s="44"/>
      <x:c r="G150" s="44"/>
      <x:c r="H150" s="42" t="str">
        <x:f>IF(COUNT(E150:G150)=0,"",E150+IF(F150="",0,F150)-IF(G150="",0,G150))</x:f>
      </x:c>
      <x:c r="I150" s="42" t="str">
        <x:f>IF(H150="","",MAX(0,L150-H150))</x:f>
      </x:c>
      <x:c r="J150" t="str">
        <x:f>IF(H150="","UNKNOWN - inventory not entered",IF(H150&lt;=D150,"REORDER NOW",IF(H150&lt;=1.2*D150,"WATCH","OK")))</x:f>
        <x:v>UNKNOWN - inventory not entered</x:v>
      </x:c>
      <x:c r="K150" t="str">
        <x:v>Medium</x:v>
      </x:c>
      <x:c r="L150" t="n">
        <x:v>1196</x:v>
      </x:c>
    </x:row>
    <x:row r="151">
      <x:c r="A151" t="n">
        <x:v>6</x:v>
      </x:c>
      <x:c r="B151" t="n">
        <x:v>18</x:v>
      </x:c>
      <x:c r="C151" t="str">
        <x:v>A</x:v>
      </x:c>
      <x:c r="D151" s="42" t="n">
        <x:v>747</x:v>
      </x:c>
      <x:c r="E151" s="44"/>
      <x:c r="F151" s="44"/>
      <x:c r="G151" s="44"/>
      <x:c r="H151" s="42" t="str">
        <x:f>IF(COUNT(E151:G151)=0,"",E151+IF(F151="",0,F151)-IF(G151="",0,G151))</x:f>
      </x:c>
      <x:c r="I151" s="42" t="str">
        <x:f>IF(H151="","",MAX(0,L151-H151))</x:f>
      </x:c>
      <x:c r="J151" t="str">
        <x:f>IF(H151="","UNKNOWN - inventory not entered",IF(H151&lt;=D151,"REORDER NOW",IF(H151&lt;=1.2*D151,"WATCH","OK")))</x:f>
        <x:v>UNKNOWN - inventory not entered</x:v>
      </x:c>
      <x:c r="K151" t="str">
        <x:v>Medium</x:v>
      </x:c>
      <x:c r="L151" t="n">
        <x:v>1119</x:v>
      </x:c>
    </x:row>
    <x:row r="152">
      <x:c r="A152" t="n">
        <x:v>10</x:v>
      </x:c>
      <x:c r="B152" t="n">
        <x:v>46</x:v>
      </x:c>
      <x:c r="C152" t="str">
        <x:v>A</x:v>
      </x:c>
      <x:c r="D152" s="42" t="n">
        <x:v>797</x:v>
      </x:c>
      <x:c r="E152" s="44"/>
      <x:c r="F152" s="44"/>
      <x:c r="G152" s="44"/>
      <x:c r="H152" s="42" t="str">
        <x:f>IF(COUNT(E152:G152)=0,"",E152+IF(F152="",0,F152)-IF(G152="",0,G152))</x:f>
      </x:c>
      <x:c r="I152" s="42" t="str">
        <x:f>IF(H152="","",MAX(0,L152-H152))</x:f>
      </x:c>
      <x:c r="J152" t="str">
        <x:f>IF(H152="","UNKNOWN - inventory not entered",IF(H152&lt;=D152,"REORDER NOW",IF(H152&lt;=1.2*D152,"WATCH","OK")))</x:f>
        <x:v>UNKNOWN - inventory not entered</x:v>
      </x:c>
      <x:c r="K152" t="str">
        <x:v>Medium</x:v>
      </x:c>
      <x:c r="L152" t="n">
        <x:v>1151</x:v>
      </x:c>
    </x:row>
    <x:row r="153">
      <x:c r="A153" t="n">
        <x:v>10</x:v>
      </x:c>
      <x:c r="B153" t="n">
        <x:v>6</x:v>
      </x:c>
      <x:c r="C153" t="str">
        <x:v>A</x:v>
      </x:c>
      <x:c r="D153" s="42" t="n">
        <x:v>804</x:v>
      </x:c>
      <x:c r="E153" s="44"/>
      <x:c r="F153" s="44"/>
      <x:c r="G153" s="44"/>
      <x:c r="H153" s="42" t="str">
        <x:f>IF(COUNT(E153:G153)=0,"",E153+IF(F153="",0,F153)-IF(G153="",0,G153))</x:f>
      </x:c>
      <x:c r="I153" s="42" t="str">
        <x:f>IF(H153="","",MAX(0,L153-H153))</x:f>
      </x:c>
      <x:c r="J153" t="str">
        <x:f>IF(H153="","UNKNOWN - inventory not entered",IF(H153&lt;=D153,"REORDER NOW",IF(H153&lt;=1.2*D153,"WATCH","OK")))</x:f>
        <x:v>UNKNOWN - inventory not entered</x:v>
      </x:c>
      <x:c r="K153" t="str">
        <x:v>Medium</x:v>
      </x:c>
      <x:c r="L153" t="n">
        <x:v>1188</x:v>
      </x:c>
    </x:row>
    <x:row r="154">
      <x:c r="A154" t="n">
        <x:v>10</x:v>
      </x:c>
      <x:c r="B154" t="n">
        <x:v>14</x:v>
      </x:c>
      <x:c r="C154" t="str">
        <x:v>A</x:v>
      </x:c>
      <x:c r="D154" s="42" t="n">
        <x:v>765</x:v>
      </x:c>
      <x:c r="E154" s="44"/>
      <x:c r="F154" s="44"/>
      <x:c r="G154" s="44"/>
      <x:c r="H154" s="42" t="str">
        <x:f>IF(COUNT(E154:G154)=0,"",E154+IF(F154="",0,F154)-IF(G154="",0,G154))</x:f>
      </x:c>
      <x:c r="I154" s="42" t="str">
        <x:f>IF(H154="","",MAX(0,L154-H154))</x:f>
      </x:c>
      <x:c r="J154" t="str">
        <x:f>IF(H154="","UNKNOWN - inventory not entered",IF(H154&lt;=D154,"REORDER NOW",IF(H154&lt;=1.2*D154,"WATCH","OK")))</x:f>
        <x:v>UNKNOWN - inventory not entered</x:v>
      </x:c>
      <x:c r="K154" t="str">
        <x:v>Medium</x:v>
      </x:c>
      <x:c r="L154" t="n">
        <x:v>1133</x:v>
      </x:c>
    </x:row>
    <x:row r="155">
      <x:c r="A155" t="n">
        <x:v>8</x:v>
      </x:c>
      <x:c r="B155" t="n">
        <x:v>9</x:v>
      </x:c>
      <x:c r="C155" t="str">
        <x:v>A</x:v>
      </x:c>
      <x:c r="D155" s="42" t="n">
        <x:v>730</x:v>
      </x:c>
      <x:c r="E155" s="44"/>
      <x:c r="F155" s="44"/>
      <x:c r="G155" s="44"/>
      <x:c r="H155" s="42" t="str">
        <x:f>IF(COUNT(E155:G155)=0,"",E155+IF(F155="",0,F155)-IF(G155="",0,G155))</x:f>
      </x:c>
      <x:c r="I155" s="42" t="str">
        <x:f>IF(H155="","",MAX(0,L155-H155))</x:f>
      </x:c>
      <x:c r="J155" t="str">
        <x:f>IF(H155="","UNKNOWN - inventory not entered",IF(H155&lt;=D155,"REORDER NOW",IF(H155&lt;=1.2*D155,"WATCH","OK")))</x:f>
        <x:v>UNKNOWN - inventory not entered</x:v>
      </x:c>
      <x:c r="K155" t="str">
        <x:v>Medium</x:v>
      </x:c>
      <x:c r="L155" t="n">
        <x:v>1116</x:v>
      </x:c>
    </x:row>
    <x:row r="156">
      <x:c r="A156" t="n">
        <x:v>5</x:v>
      </x:c>
      <x:c r="B156" t="n">
        <x:v>18</x:v>
      </x:c>
      <x:c r="C156" t="str">
        <x:v>A</x:v>
      </x:c>
      <x:c r="D156" s="42" t="n">
        <x:v>781</x:v>
      </x:c>
      <x:c r="E156" s="44"/>
      <x:c r="F156" s="44"/>
      <x:c r="G156" s="44"/>
      <x:c r="H156" s="42" t="str">
        <x:f>IF(COUNT(E156:G156)=0,"",E156+IF(F156="",0,F156)-IF(G156="",0,G156))</x:f>
      </x:c>
      <x:c r="I156" s="42" t="str">
        <x:f>IF(H156="","",MAX(0,L156-H156))</x:f>
      </x:c>
      <x:c r="J156" t="str">
        <x:f>IF(H156="","UNKNOWN - inventory not entered",IF(H156&lt;=D156,"REORDER NOW",IF(H156&lt;=1.2*D156,"WATCH","OK")))</x:f>
        <x:v>UNKNOWN - inventory not entered</x:v>
      </x:c>
      <x:c r="K156" t="str">
        <x:v>Medium</x:v>
      </x:c>
      <x:c r="L156" t="n">
        <x:v>1130</x:v>
      </x:c>
    </x:row>
    <x:row r="157">
      <x:c r="A157" t="n">
        <x:v>10</x:v>
      </x:c>
      <x:c r="B157" t="n">
        <x:v>7</x:v>
      </x:c>
      <x:c r="C157" t="str">
        <x:v>A</x:v>
      </x:c>
      <x:c r="D157" s="42" t="n">
        <x:v>783</x:v>
      </x:c>
      <x:c r="E157" s="44"/>
      <x:c r="F157" s="44"/>
      <x:c r="G157" s="44"/>
      <x:c r="H157" s="42" t="str">
        <x:f>IF(COUNT(E157:G157)=0,"",E157+IF(F157="",0,F157)-IF(G157="",0,G157))</x:f>
      </x:c>
      <x:c r="I157" s="42" t="str">
        <x:f>IF(H157="","",MAX(0,L157-H157))</x:f>
      </x:c>
      <x:c r="J157" t="str">
        <x:f>IF(H157="","UNKNOWN - inventory not entered",IF(H157&lt;=D157,"REORDER NOW",IF(H157&lt;=1.2*D157,"WATCH","OK")))</x:f>
        <x:v>UNKNOWN - inventory not entered</x:v>
      </x:c>
      <x:c r="K157" t="str">
        <x:v>Medium</x:v>
      </x:c>
      <x:c r="L157" t="n">
        <x:v>1157</x:v>
      </x:c>
    </x:row>
    <x:row r="158">
      <x:c r="A158" t="n">
        <x:v>5</x:v>
      </x:c>
      <x:c r="B158" t="n">
        <x:v>13</x:v>
      </x:c>
      <x:c r="C158" t="str">
        <x:v>A</x:v>
      </x:c>
      <x:c r="D158" s="42" t="n">
        <x:v>762</x:v>
      </x:c>
      <x:c r="E158" s="44"/>
      <x:c r="F158" s="44"/>
      <x:c r="G158" s="44"/>
      <x:c r="H158" s="42" t="str">
        <x:f>IF(COUNT(E158:G158)=0,"",E158+IF(F158="",0,F158)-IF(G158="",0,G158))</x:f>
      </x:c>
      <x:c r="I158" s="42" t="str">
        <x:f>IF(H158="","",MAX(0,L158-H158))</x:f>
      </x:c>
      <x:c r="J158" t="str">
        <x:f>IF(H158="","UNKNOWN - inventory not entered",IF(H158&lt;=D158,"REORDER NOW",IF(H158&lt;=1.2*D158,"WATCH","OK")))</x:f>
        <x:v>UNKNOWN - inventory not entered</x:v>
      </x:c>
      <x:c r="K158" t="str">
        <x:v>Medium</x:v>
      </x:c>
      <x:c r="L158" t="n">
        <x:v>1115</x:v>
      </x:c>
    </x:row>
    <x:row r="159">
      <x:c r="A159" t="n">
        <x:v>8</x:v>
      </x:c>
      <x:c r="B159" t="n">
        <x:v>43</x:v>
      </x:c>
      <x:c r="C159" t="str">
        <x:v>A</x:v>
      </x:c>
      <x:c r="D159" s="42" t="n">
        <x:v>782</x:v>
      </x:c>
      <x:c r="E159" s="44"/>
      <x:c r="F159" s="44"/>
      <x:c r="G159" s="44"/>
      <x:c r="H159" s="42" t="str">
        <x:f>IF(COUNT(E159:G159)=0,"",E159+IF(F159="",0,F159)-IF(G159="",0,G159))</x:f>
      </x:c>
      <x:c r="I159" s="42" t="str">
        <x:f>IF(H159="","",MAX(0,L159-H159))</x:f>
      </x:c>
      <x:c r="J159" t="str">
        <x:f>IF(H159="","UNKNOWN - inventory not entered",IF(H159&lt;=D159,"REORDER NOW",IF(H159&lt;=1.2*D159,"WATCH","OK")))</x:f>
        <x:v>UNKNOWN - inventory not entered</x:v>
      </x:c>
      <x:c r="K159" t="str">
        <x:v>Medium</x:v>
      </x:c>
      <x:c r="L159" t="n">
        <x:v>1167</x:v>
      </x:c>
    </x:row>
    <x:row r="160">
      <x:c r="A160" t="n">
        <x:v>6</x:v>
      </x:c>
      <x:c r="B160" t="n">
        <x:v>13</x:v>
      </x:c>
      <x:c r="C160" t="str">
        <x:v>A</x:v>
      </x:c>
      <x:c r="D160" s="42" t="n">
        <x:v>766</x:v>
      </x:c>
      <x:c r="E160" s="44"/>
      <x:c r="F160" s="44"/>
      <x:c r="G160" s="44"/>
      <x:c r="H160" s="42" t="str">
        <x:f>IF(COUNT(E160:G160)=0,"",E160+IF(F160="",0,F160)-IF(G160="",0,G160))</x:f>
      </x:c>
      <x:c r="I160" s="42" t="str">
        <x:f>IF(H160="","",MAX(0,L160-H160))</x:f>
      </x:c>
      <x:c r="J160" t="str">
        <x:f>IF(H160="","UNKNOWN - inventory not entered",IF(H160&lt;=D160,"REORDER NOW",IF(H160&lt;=1.2*D160,"WATCH","OK")))</x:f>
        <x:v>UNKNOWN - inventory not entered</x:v>
      </x:c>
      <x:c r="K160" t="str">
        <x:v>Medium</x:v>
      </x:c>
      <x:c r="L160" t="n">
        <x:v>1152</x:v>
      </x:c>
    </x:row>
    <x:row r="161">
      <x:c r="A161" t="n">
        <x:v>1</x:v>
      </x:c>
      <x:c r="B161" t="n">
        <x:v>29</x:v>
      </x:c>
      <x:c r="C161" t="str">
        <x:v>A</x:v>
      </x:c>
      <x:c r="D161" s="42" t="n">
        <x:v>834</x:v>
      </x:c>
      <x:c r="E161" s="44"/>
      <x:c r="F161" s="44"/>
      <x:c r="G161" s="44"/>
      <x:c r="H161" s="42" t="str">
        <x:f>IF(COUNT(E161:G161)=0,"",E161+IF(F161="",0,F161)-IF(G161="",0,G161))</x:f>
      </x:c>
      <x:c r="I161" s="42" t="str">
        <x:f>IF(H161="","",MAX(0,L161-H161))</x:f>
      </x:c>
      <x:c r="J161" t="str">
        <x:f>IF(H161="","UNKNOWN - inventory not entered",IF(H161&lt;=D161,"REORDER NOW",IF(H161&lt;=1.2*D161,"WATCH","OK")))</x:f>
        <x:v>UNKNOWN - inventory not entered</x:v>
      </x:c>
      <x:c r="K161" t="str">
        <x:v>Medium</x:v>
      </x:c>
      <x:c r="L161" t="n">
        <x:v>1184</x:v>
      </x:c>
    </x:row>
    <x:row r="162">
      <x:c r="A162" t="n">
        <x:v>2</x:v>
      </x:c>
      <x:c r="B162" t="n">
        <x:v>26</x:v>
      </x:c>
      <x:c r="C162" t="str">
        <x:v>A</x:v>
      </x:c>
      <x:c r="D162" s="42" t="n">
        <x:v>751</x:v>
      </x:c>
      <x:c r="E162" s="44"/>
      <x:c r="F162" s="44"/>
      <x:c r="G162" s="44"/>
      <x:c r="H162" s="42" t="str">
        <x:f>IF(COUNT(E162:G162)=0,"",E162+IF(F162="",0,F162)-IF(G162="",0,G162))</x:f>
      </x:c>
      <x:c r="I162" s="42" t="str">
        <x:f>IF(H162="","",MAX(0,L162-H162))</x:f>
      </x:c>
      <x:c r="J162" t="str">
        <x:f>IF(H162="","UNKNOWN - inventory not entered",IF(H162&lt;=D162,"REORDER NOW",IF(H162&lt;=1.2*D162,"WATCH","OK")))</x:f>
        <x:v>UNKNOWN - inventory not entered</x:v>
      </x:c>
      <x:c r="K162" t="str">
        <x:v>Medium</x:v>
      </x:c>
      <x:c r="L162" t="n">
        <x:v>1093</x:v>
      </x:c>
    </x:row>
    <x:row r="163">
      <x:c r="A163" t="n">
        <x:v>1</x:v>
      </x:c>
      <x:c r="B163" t="n">
        <x:v>33</x:v>
      </x:c>
      <x:c r="C163" t="str">
        <x:v>A</x:v>
      </x:c>
      <x:c r="D163" s="42" t="n">
        <x:v>814</x:v>
      </x:c>
      <x:c r="E163" s="44"/>
      <x:c r="F163" s="44"/>
      <x:c r="G163" s="44"/>
      <x:c r="H163" s="42" t="str">
        <x:f>IF(COUNT(E163:G163)=0,"",E163+IF(F163="",0,F163)-IF(G163="",0,G163))</x:f>
      </x:c>
      <x:c r="I163" s="42" t="str">
        <x:f>IF(H163="","",MAX(0,L163-H163))</x:f>
      </x:c>
      <x:c r="J163" t="str">
        <x:f>IF(H163="","UNKNOWN - inventory not entered",IF(H163&lt;=D163,"REORDER NOW",IF(H163&lt;=1.2*D163,"WATCH","OK")))</x:f>
        <x:v>UNKNOWN - inventory not entered</x:v>
      </x:c>
      <x:c r="K163" t="str">
        <x:v>Medium</x:v>
      </x:c>
      <x:c r="L163" t="n">
        <x:v>1176</x:v>
      </x:c>
    </x:row>
    <x:row r="164">
      <x:c r="A164" t="n">
        <x:v>9</x:v>
      </x:c>
      <x:c r="B164" t="n">
        <x:v>14</x:v>
      </x:c>
      <x:c r="C164" t="str">
        <x:v>A</x:v>
      </x:c>
      <x:c r="D164" s="42" t="n">
        <x:v>748</x:v>
      </x:c>
      <x:c r="E164" s="44"/>
      <x:c r="F164" s="44"/>
      <x:c r="G164" s="44"/>
      <x:c r="H164" s="42" t="str">
        <x:f>IF(COUNT(E164:G164)=0,"",E164+IF(F164="",0,F164)-IF(G164="",0,G164))</x:f>
      </x:c>
      <x:c r="I164" s="42" t="str">
        <x:f>IF(H164="","",MAX(0,L164-H164))</x:f>
      </x:c>
      <x:c r="J164" t="str">
        <x:f>IF(H164="","UNKNOWN - inventory not entered",IF(H164&lt;=D164,"REORDER NOW",IF(H164&lt;=1.2*D164,"WATCH","OK")))</x:f>
        <x:v>UNKNOWN - inventory not entered</x:v>
      </x:c>
      <x:c r="K164" t="str">
        <x:v>Medium</x:v>
      </x:c>
      <x:c r="L164" t="n">
        <x:v>1119</x:v>
      </x:c>
    </x:row>
    <x:row r="165">
      <x:c r="A165" t="n">
        <x:v>1</x:v>
      </x:c>
      <x:c r="B165" t="n">
        <x:v>11</x:v>
      </x:c>
      <x:c r="C165" t="str">
        <x:v>A</x:v>
      </x:c>
      <x:c r="D165" s="42" t="n">
        <x:v>765</x:v>
      </x:c>
      <x:c r="E165" s="44"/>
      <x:c r="F165" s="44"/>
      <x:c r="G165" s="44"/>
      <x:c r="H165" s="42" t="str">
        <x:f>IF(COUNT(E165:G165)=0,"",E165+IF(F165="",0,F165)-IF(G165="",0,G165))</x:f>
      </x:c>
      <x:c r="I165" s="42" t="str">
        <x:f>IF(H165="","",MAX(0,L165-H165))</x:f>
      </x:c>
      <x:c r="J165" t="str">
        <x:f>IF(H165="","UNKNOWN - inventory not entered",IF(H165&lt;=D165,"REORDER NOW",IF(H165&lt;=1.2*D165,"WATCH","OK")))</x:f>
        <x:v>UNKNOWN - inventory not entered</x:v>
      </x:c>
      <x:c r="K165" t="str">
        <x:v>Medium</x:v>
      </x:c>
      <x:c r="L165" t="n">
        <x:v>1111</x:v>
      </x:c>
    </x:row>
    <x:row r="166">
      <x:c r="A166" t="n">
        <x:v>8</x:v>
      </x:c>
      <x:c r="B166" t="n">
        <x:v>48</x:v>
      </x:c>
      <x:c r="C166" t="str">
        <x:v>A</x:v>
      </x:c>
      <x:c r="D166" s="42" t="n">
        <x:v>750</x:v>
      </x:c>
      <x:c r="E166" s="44"/>
      <x:c r="F166" s="44"/>
      <x:c r="G166" s="44"/>
      <x:c r="H166" s="42" t="str">
        <x:f>IF(COUNT(E166:G166)=0,"",E166+IF(F166="",0,F166)-IF(G166="",0,G166))</x:f>
      </x:c>
      <x:c r="I166" s="42" t="str">
        <x:f>IF(H166="","",MAX(0,L166-H166))</x:f>
      </x:c>
      <x:c r="J166" t="str">
        <x:f>IF(H166="","UNKNOWN - inventory not entered",IF(H166&lt;=D166,"REORDER NOW",IF(H166&lt;=1.2*D166,"WATCH","OK")))</x:f>
        <x:v>UNKNOWN - inventory not entered</x:v>
      </x:c>
      <x:c r="K166" t="str">
        <x:v>Medium</x:v>
      </x:c>
      <x:c r="L166" t="n">
        <x:v>1113</x:v>
      </x:c>
    </x:row>
    <x:row r="167">
      <x:c r="A167" t="n">
        <x:v>5</x:v>
      </x:c>
      <x:c r="B167" t="n">
        <x:v>25</x:v>
      </x:c>
      <x:c r="C167" t="str">
        <x:v>A</x:v>
      </x:c>
      <x:c r="D167" s="42" t="n">
        <x:v>800</x:v>
      </x:c>
      <x:c r="E167" s="44"/>
      <x:c r="F167" s="44"/>
      <x:c r="G167" s="44"/>
      <x:c r="H167" s="42" t="str">
        <x:f>IF(COUNT(E167:G167)=0,"",E167+IF(F167="",0,F167)-IF(G167="",0,G167))</x:f>
      </x:c>
      <x:c r="I167" s="42" t="str">
        <x:f>IF(H167="","",MAX(0,L167-H167))</x:f>
      </x:c>
      <x:c r="J167" t="str">
        <x:f>IF(H167="","UNKNOWN - inventory not entered",IF(H167&lt;=D167,"REORDER NOW",IF(H167&lt;=1.2*D167,"WATCH","OK")))</x:f>
        <x:v>UNKNOWN - inventory not entered</x:v>
      </x:c>
      <x:c r="K167" t="str">
        <x:v>Medium</x:v>
      </x:c>
      <x:c r="L167" t="n">
        <x:v>1126</x:v>
      </x:c>
    </x:row>
    <x:row r="168">
      <x:c r="A168" t="n">
        <x:v>6</x:v>
      </x:c>
      <x:c r="B168" t="n">
        <x:v>45</x:v>
      </x:c>
      <x:c r="C168" t="str">
        <x:v>A</x:v>
      </x:c>
      <x:c r="D168" s="42" t="n">
        <x:v>736</x:v>
      </x:c>
      <x:c r="E168" s="44"/>
      <x:c r="F168" s="44"/>
      <x:c r="G168" s="44"/>
      <x:c r="H168" s="42" t="str">
        <x:f>IF(COUNT(E168:G168)=0,"",E168+IF(F168="",0,F168)-IF(G168="",0,G168))</x:f>
      </x:c>
      <x:c r="I168" s="42" t="str">
        <x:f>IF(H168="","",MAX(0,L168-H168))</x:f>
      </x:c>
      <x:c r="J168" t="str">
        <x:f>IF(H168="","UNKNOWN - inventory not entered",IF(H168&lt;=D168,"REORDER NOW",IF(H168&lt;=1.2*D168,"WATCH","OK")))</x:f>
        <x:v>UNKNOWN - inventory not entered</x:v>
      </x:c>
      <x:c r="K168" t="str">
        <x:v>Medium</x:v>
      </x:c>
      <x:c r="L168" t="n">
        <x:v>1096</x:v>
      </x:c>
    </x:row>
    <x:row r="169">
      <x:c r="A169" t="n">
        <x:v>5</x:v>
      </x:c>
      <x:c r="B169" t="n">
        <x:v>38</x:v>
      </x:c>
      <x:c r="C169" t="str">
        <x:v>A</x:v>
      </x:c>
      <x:c r="D169" s="42" t="n">
        <x:v>734</x:v>
      </x:c>
      <x:c r="E169" s="44"/>
      <x:c r="F169" s="44"/>
      <x:c r="G169" s="44"/>
      <x:c r="H169" s="42" t="str">
        <x:f>IF(COUNT(E169:G169)=0,"",E169+IF(F169="",0,F169)-IF(G169="",0,G169))</x:f>
      </x:c>
      <x:c r="I169" s="42" t="str">
        <x:f>IF(H169="","",MAX(0,L169-H169))</x:f>
      </x:c>
      <x:c r="J169" t="str">
        <x:f>IF(H169="","UNKNOWN - inventory not entered",IF(H169&lt;=D169,"REORDER NOW",IF(H169&lt;=1.2*D169,"WATCH","OK")))</x:f>
        <x:v>UNKNOWN - inventory not entered</x:v>
      </x:c>
      <x:c r="K169" t="str">
        <x:v>Medium</x:v>
      </x:c>
      <x:c r="L169" t="n">
        <x:v>1072</x:v>
      </x:c>
    </x:row>
    <x:row r="170">
      <x:c r="A170" t="n">
        <x:v>1</x:v>
      </x:c>
      <x:c r="B170" t="n">
        <x:v>12</x:v>
      </x:c>
      <x:c r="C170" t="str">
        <x:v>A</x:v>
      </x:c>
      <x:c r="D170" s="42" t="n">
        <x:v>724</x:v>
      </x:c>
      <x:c r="E170" s="44"/>
      <x:c r="F170" s="44"/>
      <x:c r="G170" s="44"/>
      <x:c r="H170" s="42" t="str">
        <x:f>IF(COUNT(E170:G170)=0,"",E170+IF(F170="",0,F170)-IF(G170="",0,G170))</x:f>
      </x:c>
      <x:c r="I170" s="42" t="str">
        <x:f>IF(H170="","",MAX(0,L170-H170))</x:f>
      </x:c>
      <x:c r="J170" t="str">
        <x:f>IF(H170="","UNKNOWN - inventory not entered",IF(H170&lt;=D170,"REORDER NOW",IF(H170&lt;=1.2*D170,"WATCH","OK")))</x:f>
        <x:v>UNKNOWN - inventory not entered</x:v>
      </x:c>
      <x:c r="K170" t="str">
        <x:v>Medium</x:v>
      </x:c>
      <x:c r="L170" t="n">
        <x:v>1062</x:v>
      </x:c>
    </x:row>
    <x:row r="171">
      <x:c r="A171" t="n">
        <x:v>2</x:v>
      </x:c>
      <x:c r="B171" t="n">
        <x:v>20</x:v>
      </x:c>
      <x:c r="C171" t="str">
        <x:v>A</x:v>
      </x:c>
      <x:c r="D171" s="42" t="n">
        <x:v>744</x:v>
      </x:c>
      <x:c r="E171" s="44"/>
      <x:c r="F171" s="44"/>
      <x:c r="G171" s="44"/>
      <x:c r="H171" s="42" t="str">
        <x:f>IF(COUNT(E171:G171)=0,"",E171+IF(F171="",0,F171)-IF(G171="",0,G171))</x:f>
      </x:c>
      <x:c r="I171" s="42" t="str">
        <x:f>IF(H171="","",MAX(0,L171-H171))</x:f>
      </x:c>
      <x:c r="J171" t="str">
        <x:f>IF(H171="","UNKNOWN - inventory not entered",IF(H171&lt;=D171,"REORDER NOW",IF(H171&lt;=1.2*D171,"WATCH","OK")))</x:f>
        <x:v>UNKNOWN - inventory not entered</x:v>
      </x:c>
      <x:c r="K171" t="str">
        <x:v>Medium</x:v>
      </x:c>
      <x:c r="L171" t="n">
        <x:v>1057</x:v>
      </x:c>
    </x:row>
    <x:row r="172">
      <x:c r="A172" t="n">
        <x:v>9</x:v>
      </x:c>
      <x:c r="B172" t="n">
        <x:v>7</x:v>
      </x:c>
      <x:c r="C172" t="str">
        <x:v>A</x:v>
      </x:c>
      <x:c r="D172" s="42" t="n">
        <x:v>745</x:v>
      </x:c>
      <x:c r="E172" s="44"/>
      <x:c r="F172" s="44"/>
      <x:c r="G172" s="44"/>
      <x:c r="H172" s="42" t="str">
        <x:f>IF(COUNT(E172:G172)=0,"",E172+IF(F172="",0,F172)-IF(G172="",0,G172))</x:f>
      </x:c>
      <x:c r="I172" s="42" t="str">
        <x:f>IF(H172="","",MAX(0,L172-H172))</x:f>
      </x:c>
      <x:c r="J172" t="str">
        <x:f>IF(H172="","UNKNOWN - inventory not entered",IF(H172&lt;=D172,"REORDER NOW",IF(H172&lt;=1.2*D172,"WATCH","OK")))</x:f>
        <x:v>UNKNOWN - inventory not entered</x:v>
      </x:c>
      <x:c r="K172" t="str">
        <x:v>Medium</x:v>
      </x:c>
      <x:c r="L172" t="n">
        <x:v>1085</x:v>
      </x:c>
    </x:row>
    <x:row r="173">
      <x:c r="A173" t="n">
        <x:v>4</x:v>
      </x:c>
      <x:c r="B173" t="n">
        <x:v>7</x:v>
      </x:c>
      <x:c r="C173" t="str">
        <x:v>A</x:v>
      </x:c>
      <x:c r="D173" s="42" t="n">
        <x:v>730</x:v>
      </x:c>
      <x:c r="E173" s="44"/>
      <x:c r="F173" s="44"/>
      <x:c r="G173" s="44"/>
      <x:c r="H173" s="42" t="str">
        <x:f>IF(COUNT(E173:G173)=0,"",E173+IF(F173="",0,F173)-IF(G173="",0,G173))</x:f>
      </x:c>
      <x:c r="I173" s="42" t="str">
        <x:f>IF(H173="","",MAX(0,L173-H173))</x:f>
      </x:c>
      <x:c r="J173" t="str">
        <x:f>IF(H173="","UNKNOWN - inventory not entered",IF(H173&lt;=D173,"REORDER NOW",IF(H173&lt;=1.2*D173,"WATCH","OK")))</x:f>
        <x:v>UNKNOWN - inventory not entered</x:v>
      </x:c>
      <x:c r="K173" t="str">
        <x:v>Medium</x:v>
      </x:c>
      <x:c r="L173" t="n">
        <x:v>1082</x:v>
      </x:c>
    </x:row>
    <x:row r="174">
      <x:c r="A174" t="n">
        <x:v>4</x:v>
      </x:c>
      <x:c r="B174" t="n">
        <x:v>31</x:v>
      </x:c>
      <x:c r="C174" t="str">
        <x:v>A</x:v>
      </x:c>
      <x:c r="D174" s="42" t="n">
        <x:v>691</x:v>
      </x:c>
      <x:c r="E174" s="44"/>
      <x:c r="F174" s="44"/>
      <x:c r="G174" s="44"/>
      <x:c r="H174" s="42" t="str">
        <x:f>IF(COUNT(E174:G174)=0,"",E174+IF(F174="",0,F174)-IF(G174="",0,G174))</x:f>
      </x:c>
      <x:c r="I174" s="42" t="str">
        <x:f>IF(H174="","",MAX(0,L174-H174))</x:f>
      </x:c>
      <x:c r="J174" t="str">
        <x:f>IF(H174="","UNKNOWN - inventory not entered",IF(H174&lt;=D174,"REORDER NOW",IF(H174&lt;=1.2*D174,"WATCH","OK")))</x:f>
        <x:v>UNKNOWN - inventory not entered</x:v>
      </x:c>
      <x:c r="K174" t="str">
        <x:v>Medium</x:v>
      </x:c>
      <x:c r="L174" t="n">
        <x:v>1062</x:v>
      </x:c>
    </x:row>
    <x:row r="175">
      <x:c r="A175" t="n">
        <x:v>4</x:v>
      </x:c>
      <x:c r="B175" t="n">
        <x:v>46</x:v>
      </x:c>
      <x:c r="C175" t="str">
        <x:v>A</x:v>
      </x:c>
      <x:c r="D175" s="42" t="n">
        <x:v>720</x:v>
      </x:c>
      <x:c r="E175" s="44"/>
      <x:c r="F175" s="44"/>
      <x:c r="G175" s="44"/>
      <x:c r="H175" s="42" t="str">
        <x:f>IF(COUNT(E175:G175)=0,"",E175+IF(F175="",0,F175)-IF(G175="",0,G175))</x:f>
      </x:c>
      <x:c r="I175" s="42" t="str">
        <x:f>IF(H175="","",MAX(0,L175-H175))</x:f>
      </x:c>
      <x:c r="J175" t="str">
        <x:f>IF(H175="","UNKNOWN - inventory not entered",IF(H175&lt;=D175,"REORDER NOW",IF(H175&lt;=1.2*D175,"WATCH","OK")))</x:f>
        <x:v>UNKNOWN - inventory not entered</x:v>
      </x:c>
      <x:c r="K175" t="str">
        <x:v>Medium</x:v>
      </x:c>
      <x:c r="L175" t="n">
        <x:v>1054</x:v>
      </x:c>
    </x:row>
    <x:row r="176">
      <x:c r="A176" t="n">
        <x:v>9</x:v>
      </x:c>
      <x:c r="B176" t="n">
        <x:v>31</x:v>
      </x:c>
      <x:c r="C176" t="str">
        <x:v>A</x:v>
      </x:c>
      <x:c r="D176" s="42" t="n">
        <x:v>726</x:v>
      </x:c>
      <x:c r="E176" s="44"/>
      <x:c r="F176" s="44"/>
      <x:c r="G176" s="44"/>
      <x:c r="H176" s="42" t="str">
        <x:f>IF(COUNT(E176:G176)=0,"",E176+IF(F176="",0,F176)-IF(G176="",0,G176))</x:f>
      </x:c>
      <x:c r="I176" s="42" t="str">
        <x:f>IF(H176="","",MAX(0,L176-H176))</x:f>
      </x:c>
      <x:c r="J176" t="str">
        <x:f>IF(H176="","UNKNOWN - inventory not entered",IF(H176&lt;=D176,"REORDER NOW",IF(H176&lt;=1.2*D176,"WATCH","OK")))</x:f>
        <x:v>UNKNOWN - inventory not entered</x:v>
      </x:c>
      <x:c r="K176" t="str">
        <x:v>Medium</x:v>
      </x:c>
      <x:c r="L176" t="n">
        <x:v>1091</x:v>
      </x:c>
    </x:row>
    <x:row r="177">
      <x:c r="A177" t="n">
        <x:v>9</x:v>
      </x:c>
      <x:c r="B177" t="n">
        <x:v>6</x:v>
      </x:c>
      <x:c r="C177" t="str">
        <x:v>A</x:v>
      </x:c>
      <x:c r="D177" s="42" t="n">
        <x:v>704</x:v>
      </x:c>
      <x:c r="E177" s="44"/>
      <x:c r="F177" s="44"/>
      <x:c r="G177" s="44"/>
      <x:c r="H177" s="42" t="str">
        <x:f>IF(COUNT(E177:G177)=0,"",E177+IF(F177="",0,F177)-IF(G177="",0,G177))</x:f>
      </x:c>
      <x:c r="I177" s="42" t="str">
        <x:f>IF(H177="","",MAX(0,L177-H177))</x:f>
      </x:c>
      <x:c r="J177" t="str">
        <x:f>IF(H177="","UNKNOWN - inventory not entered",IF(H177&lt;=D177,"REORDER NOW",IF(H177&lt;=1.2*D177,"WATCH","OK")))</x:f>
        <x:v>UNKNOWN - inventory not entered</x:v>
      </x:c>
      <x:c r="K177" t="str">
        <x:v>Medium</x:v>
      </x:c>
      <x:c r="L177" t="n">
        <x:v>1061</x:v>
      </x:c>
    </x:row>
    <x:row r="178">
      <x:c r="A178" t="n">
        <x:v>9</x:v>
      </x:c>
      <x:c r="B178" t="n">
        <x:v>46</x:v>
      </x:c>
      <x:c r="C178" t="str">
        <x:v>A</x:v>
      </x:c>
      <x:c r="D178" s="42" t="n">
        <x:v>690</x:v>
      </x:c>
      <x:c r="E178" s="44"/>
      <x:c r="F178" s="44"/>
      <x:c r="G178" s="44"/>
      <x:c r="H178" s="42" t="str">
        <x:f>IF(COUNT(E178:G178)=0,"",E178+IF(F178="",0,F178)-IF(G178="",0,G178))</x:f>
      </x:c>
      <x:c r="I178" s="42" t="str">
        <x:f>IF(H178="","",MAX(0,L178-H178))</x:f>
      </x:c>
      <x:c r="J178" t="str">
        <x:f>IF(H178="","UNKNOWN - inventory not entered",IF(H178&lt;=D178,"REORDER NOW",IF(H178&lt;=1.2*D178,"WATCH","OK")))</x:f>
        <x:v>UNKNOWN - inventory not entered</x:v>
      </x:c>
      <x:c r="K178" t="str">
        <x:v>Medium</x:v>
      </x:c>
      <x:c r="L178" t="n">
        <x:v>1054</x:v>
      </x:c>
    </x:row>
    <x:row r="179">
      <x:c r="A179" t="n">
        <x:v>5</x:v>
      </x:c>
      <x:c r="B179" t="n">
        <x:v>22</x:v>
      </x:c>
      <x:c r="C179" t="str">
        <x:v>A</x:v>
      </x:c>
      <x:c r="D179" s="42" t="n">
        <x:v>727</x:v>
      </x:c>
      <x:c r="E179" s="44"/>
      <x:c r="F179" s="44"/>
      <x:c r="G179" s="44"/>
      <x:c r="H179" s="42" t="str">
        <x:f>IF(COUNT(E179:G179)=0,"",E179+IF(F179="",0,F179)-IF(G179="",0,G179))</x:f>
      </x:c>
      <x:c r="I179" s="42" t="str">
        <x:f>IF(H179="","",MAX(0,L179-H179))</x:f>
      </x:c>
      <x:c r="J179" t="str">
        <x:f>IF(H179="","UNKNOWN - inventory not entered",IF(H179&lt;=D179,"REORDER NOW",IF(H179&lt;=1.2*D179,"WATCH","OK")))</x:f>
        <x:v>UNKNOWN - inventory not entered</x:v>
      </x:c>
      <x:c r="K179" t="str">
        <x:v>Medium</x:v>
      </x:c>
      <x:c r="L179" t="n">
        <x:v>1059</x:v>
      </x:c>
    </x:row>
    <x:row r="180">
      <x:c r="A180" t="n">
        <x:v>5</x:v>
      </x:c>
      <x:c r="B180" t="n">
        <x:v>45</x:v>
      </x:c>
      <x:c r="C180" t="str">
        <x:v>A</x:v>
      </x:c>
      <x:c r="D180" s="42" t="n">
        <x:v>715</x:v>
      </x:c>
      <x:c r="E180" s="44"/>
      <x:c r="F180" s="44"/>
      <x:c r="G180" s="44"/>
      <x:c r="H180" s="42" t="str">
        <x:f>IF(COUNT(E180:G180)=0,"",E180+IF(F180="",0,F180)-IF(G180="",0,G180))</x:f>
      </x:c>
      <x:c r="I180" s="42" t="str">
        <x:f>IF(H180="","",MAX(0,L180-H180))</x:f>
      </x:c>
      <x:c r="J180" t="str">
        <x:f>IF(H180="","UNKNOWN - inventory not entered",IF(H180&lt;=D180,"REORDER NOW",IF(H180&lt;=1.2*D180,"WATCH","OK")))</x:f>
        <x:v>UNKNOWN - inventory not entered</x:v>
      </x:c>
      <x:c r="K180" t="str">
        <x:v>Medium</x:v>
      </x:c>
      <x:c r="L180" t="n">
        <x:v>1066</x:v>
      </x:c>
    </x:row>
    <x:row r="181">
      <x:c r="A181" t="n">
        <x:v>6</x:v>
      </x:c>
      <x:c r="B181" t="n">
        <x:v>38</x:v>
      </x:c>
      <x:c r="C181" t="str">
        <x:v>A</x:v>
      </x:c>
      <x:c r="D181" s="42" t="n">
        <x:v>752</x:v>
      </x:c>
      <x:c r="E181" s="44"/>
      <x:c r="F181" s="44"/>
      <x:c r="G181" s="44"/>
      <x:c r="H181" s="42" t="str">
        <x:f>IF(COUNT(E181:G181)=0,"",E181+IF(F181="",0,F181)-IF(G181="",0,G181))</x:f>
      </x:c>
      <x:c r="I181" s="42" t="str">
        <x:f>IF(H181="","",MAX(0,L181-H181))</x:f>
      </x:c>
      <x:c r="J181" t="str">
        <x:f>IF(H181="","UNKNOWN - inventory not entered",IF(H181&lt;=D181,"REORDER NOW",IF(H181&lt;=1.2*D181,"WATCH","OK")))</x:f>
        <x:v>UNKNOWN - inventory not entered</x:v>
      </x:c>
      <x:c r="K181" t="str">
        <x:v>Medium</x:v>
      </x:c>
      <x:c r="L181" t="n">
        <x:v>1084</x:v>
      </x:c>
    </x:row>
    <x:row r="182">
      <x:c r="A182" t="n">
        <x:v>9</x:v>
      </x:c>
      <x:c r="B182" t="n">
        <x:v>2</x:v>
      </x:c>
      <x:c r="C182" t="str">
        <x:v>A</x:v>
      </x:c>
      <x:c r="D182" s="42" t="n">
        <x:v>742</x:v>
      </x:c>
      <x:c r="E182" s="44"/>
      <x:c r="F182" s="44"/>
      <x:c r="G182" s="44"/>
      <x:c r="H182" s="42" t="str">
        <x:f>IF(COUNT(E182:G182)=0,"",E182+IF(F182="",0,F182)-IF(G182="",0,G182))</x:f>
      </x:c>
      <x:c r="I182" s="42" t="str">
        <x:f>IF(H182="","",MAX(0,L182-H182))</x:f>
      </x:c>
      <x:c r="J182" t="str">
        <x:f>IF(H182="","UNKNOWN - inventory not entered",IF(H182&lt;=D182,"REORDER NOW",IF(H182&lt;=1.2*D182,"WATCH","OK")))</x:f>
        <x:v>UNKNOWN - inventory not entered</x:v>
      </x:c>
      <x:c r="K182" t="str">
        <x:v>Medium</x:v>
      </x:c>
      <x:c r="L182" t="n">
        <x:v>1073</x:v>
      </x:c>
    </x:row>
    <x:row r="183">
      <x:c r="A183" t="n">
        <x:v>4</x:v>
      </x:c>
      <x:c r="B183" t="n">
        <x:v>2</x:v>
      </x:c>
      <x:c r="C183" t="str">
        <x:v>A</x:v>
      </x:c>
      <x:c r="D183" s="42" t="n">
        <x:v>677</x:v>
      </x:c>
      <x:c r="E183" s="44"/>
      <x:c r="F183" s="44"/>
      <x:c r="G183" s="44"/>
      <x:c r="H183" s="42" t="str">
        <x:f>IF(COUNT(E183:G183)=0,"",E183+IF(F183="",0,F183)-IF(G183="",0,G183))</x:f>
      </x:c>
      <x:c r="I183" s="42" t="str">
        <x:f>IF(H183="","",MAX(0,L183-H183))</x:f>
      </x:c>
      <x:c r="J183" t="str">
        <x:f>IF(H183="","UNKNOWN - inventory not entered",IF(H183&lt;=D183,"REORDER NOW",IF(H183&lt;=1.2*D183,"WATCH","OK")))</x:f>
        <x:v>UNKNOWN - inventory not entered</x:v>
      </x:c>
      <x:c r="K183" t="str">
        <x:v>Medium</x:v>
      </x:c>
      <x:c r="L183" t="n">
        <x:v>1035</x:v>
      </x:c>
    </x:row>
    <x:row r="184">
      <x:c r="A184" t="n">
        <x:v>4</x:v>
      </x:c>
      <x:c r="B184" t="n">
        <x:v>6</x:v>
      </x:c>
      <x:c r="C184" t="str">
        <x:v>A</x:v>
      </x:c>
      <x:c r="D184" s="42" t="n">
        <x:v>710</x:v>
      </x:c>
      <x:c r="E184" s="44"/>
      <x:c r="F184" s="44"/>
      <x:c r="G184" s="44"/>
      <x:c r="H184" s="42" t="str">
        <x:f>IF(COUNT(E184:G184)=0,"",E184+IF(F184="",0,F184)-IF(G184="",0,G184))</x:f>
      </x:c>
      <x:c r="I184" s="42" t="str">
        <x:f>IF(H184="","",MAX(0,L184-H184))</x:f>
      </x:c>
      <x:c r="J184" t="str">
        <x:f>IF(H184="","UNKNOWN - inventory not entered",IF(H184&lt;=D184,"REORDER NOW",IF(H184&lt;=1.2*D184,"WATCH","OK")))</x:f>
        <x:v>UNKNOWN - inventory not entered</x:v>
      </x:c>
      <x:c r="K184" t="str">
        <x:v>Medium</x:v>
      </x:c>
      <x:c r="L184" t="n">
        <x:v>1095</x:v>
      </x:c>
    </x:row>
    <x:row r="185">
      <x:c r="A185" t="n">
        <x:v>7</x:v>
      </x:c>
      <x:c r="B185" t="n">
        <x:v>15</x:v>
      </x:c>
      <x:c r="C185" t="str">
        <x:v>A</x:v>
      </x:c>
      <x:c r="D185" s="42" t="n">
        <x:v>717</x:v>
      </x:c>
      <x:c r="E185" s="44"/>
      <x:c r="F185" s="44"/>
      <x:c r="G185" s="44"/>
      <x:c r="H185" s="42" t="str">
        <x:f>IF(COUNT(E185:G185)=0,"",E185+IF(F185="",0,F185)-IF(G185="",0,G185))</x:f>
      </x:c>
      <x:c r="I185" s="42" t="str">
        <x:f>IF(H185="","",MAX(0,L185-H185))</x:f>
      </x:c>
      <x:c r="J185" t="str">
        <x:f>IF(H185="","UNKNOWN - inventory not entered",IF(H185&lt;=D185,"REORDER NOW",IF(H185&lt;=1.2*D185,"WATCH","OK")))</x:f>
        <x:v>UNKNOWN - inventory not entered</x:v>
      </x:c>
      <x:c r="K185" t="str">
        <x:v>Medium</x:v>
      </x:c>
      <x:c r="L185" t="n">
        <x:v>1080</x:v>
      </x:c>
    </x:row>
    <x:row r="186">
      <x:c r="A186" t="n">
        <x:v>1</x:v>
      </x:c>
      <x:c r="B186" t="n">
        <x:v>24</x:v>
      </x:c>
      <x:c r="C186" t="str">
        <x:v>A</x:v>
      </x:c>
      <x:c r="D186" s="42" t="n">
        <x:v>731</x:v>
      </x:c>
      <x:c r="E186" s="44"/>
      <x:c r="F186" s="44"/>
      <x:c r="G186" s="44"/>
      <x:c r="H186" s="42" t="str">
        <x:f>IF(COUNT(E186:G186)=0,"",E186+IF(F186="",0,F186)-IF(G186="",0,G186))</x:f>
      </x:c>
      <x:c r="I186" s="42" t="str">
        <x:f>IF(H186="","",MAX(0,L186-H186))</x:f>
      </x:c>
      <x:c r="J186" t="str">
        <x:f>IF(H186="","UNKNOWN - inventory not entered",IF(H186&lt;=D186,"REORDER NOW",IF(H186&lt;=1.2*D186,"WATCH","OK")))</x:f>
        <x:v>UNKNOWN - inventory not entered</x:v>
      </x:c>
      <x:c r="K186" t="str">
        <x:v>Medium</x:v>
      </x:c>
      <x:c r="L186" t="n">
        <x:v>1072</x:v>
      </x:c>
    </x:row>
    <x:row r="187">
      <x:c r="A187" t="n">
        <x:v>1</x:v>
      </x:c>
      <x:c r="B187" t="n">
        <x:v>50</x:v>
      </x:c>
      <x:c r="C187" t="str">
        <x:v>A</x:v>
      </x:c>
      <x:c r="D187" s="42" t="n">
        <x:v>732</x:v>
      </x:c>
      <x:c r="E187" s="44"/>
      <x:c r="F187" s="44"/>
      <x:c r="G187" s="44"/>
      <x:c r="H187" s="42" t="str">
        <x:f>IF(COUNT(E187:G187)=0,"",E187+IF(F187="",0,F187)-IF(G187="",0,G187))</x:f>
      </x:c>
      <x:c r="I187" s="42" t="str">
        <x:f>IF(H187="","",MAX(0,L187-H187))</x:f>
      </x:c>
      <x:c r="J187" t="str">
        <x:f>IF(H187="","UNKNOWN - inventory not entered",IF(H187&lt;=D187,"REORDER NOW",IF(H187&lt;=1.2*D187,"WATCH","OK")))</x:f>
        <x:v>UNKNOWN - inventory not entered</x:v>
      </x:c>
      <x:c r="K187" t="str">
        <x:v>Medium</x:v>
      </x:c>
      <x:c r="L187" t="n">
        <x:v>1043</x:v>
      </x:c>
    </x:row>
    <x:row r="188">
      <x:c r="A188" t="n">
        <x:v>6</x:v>
      </x:c>
      <x:c r="B188" t="n">
        <x:v>25</x:v>
      </x:c>
      <x:c r="C188" t="str">
        <x:v>A</x:v>
      </x:c>
      <x:c r="D188" s="42" t="n">
        <x:v>725</x:v>
      </x:c>
      <x:c r="E188" s="44"/>
      <x:c r="F188" s="44"/>
      <x:c r="G188" s="44"/>
      <x:c r="H188" s="42" t="str">
        <x:f>IF(COUNT(E188:G188)=0,"",E188+IF(F188="",0,F188)-IF(G188="",0,G188))</x:f>
      </x:c>
      <x:c r="I188" s="42" t="str">
        <x:f>IF(H188="","",MAX(0,L188-H188))</x:f>
      </x:c>
      <x:c r="J188" t="str">
        <x:f>IF(H188="","UNKNOWN - inventory not entered",IF(H188&lt;=D188,"REORDER NOW",IF(H188&lt;=1.2*D188,"WATCH","OK")))</x:f>
        <x:v>UNKNOWN - inventory not entered</x:v>
      </x:c>
      <x:c r="K188" t="str">
        <x:v>Medium</x:v>
      </x:c>
      <x:c r="L188" t="n">
        <x:v>1066</x:v>
      </x:c>
    </x:row>
    <x:row r="189">
      <x:c r="A189" t="n">
        <x:v>4</x:v>
      </x:c>
      <x:c r="B189" t="n">
        <x:v>14</x:v>
      </x:c>
      <x:c r="C189" t="str">
        <x:v>A</x:v>
      </x:c>
      <x:c r="D189" s="42" t="n">
        <x:v>746</x:v>
      </x:c>
      <x:c r="E189" s="44"/>
      <x:c r="F189" s="44"/>
      <x:c r="G189" s="44"/>
      <x:c r="H189" s="42" t="str">
        <x:f>IF(COUNT(E189:G189)=0,"",E189+IF(F189="",0,F189)-IF(G189="",0,G189))</x:f>
      </x:c>
      <x:c r="I189" s="42" t="str">
        <x:f>IF(H189="","",MAX(0,L189-H189))</x:f>
      </x:c>
      <x:c r="J189" t="str">
        <x:f>IF(H189="","UNKNOWN - inventory not entered",IF(H189&lt;=D189,"REORDER NOW",IF(H189&lt;=1.2*D189,"WATCH","OK")))</x:f>
        <x:v>UNKNOWN - inventory not entered</x:v>
      </x:c>
      <x:c r="K189" t="str">
        <x:v>Medium</x:v>
      </x:c>
      <x:c r="L189" t="n">
        <x:v>1101</x:v>
      </x:c>
    </x:row>
    <x:row r="190">
      <x:c r="A190" t="n">
        <x:v>7</x:v>
      </x:c>
      <x:c r="B190" t="n">
        <x:v>28</x:v>
      </x:c>
      <x:c r="C190" t="str">
        <x:v>A</x:v>
      </x:c>
      <x:c r="D190" s="42" t="n">
        <x:v>734</x:v>
      </x:c>
      <x:c r="E190" s="44"/>
      <x:c r="F190" s="44"/>
      <x:c r="G190" s="44"/>
      <x:c r="H190" s="42" t="str">
        <x:f>IF(COUNT(E190:G190)=0,"",E190+IF(F190="",0,F190)-IF(G190="",0,G190))</x:f>
      </x:c>
      <x:c r="I190" s="42" t="str">
        <x:f>IF(H190="","",MAX(0,L190-H190))</x:f>
      </x:c>
      <x:c r="J190" t="str">
        <x:f>IF(H190="","UNKNOWN - inventory not entered",IF(H190&lt;=D190,"REORDER NOW",IF(H190&lt;=1.2*D190,"WATCH","OK")))</x:f>
        <x:v>UNKNOWN - inventory not entered</x:v>
      </x:c>
      <x:c r="K190" t="str">
        <x:v>Medium</x:v>
      </x:c>
      <x:c r="L190" t="n">
        <x:v>1094</x:v>
      </x:c>
    </x:row>
    <x:row r="191">
      <x:c r="A191" t="n">
        <x:v>6</x:v>
      </x:c>
      <x:c r="B191" t="n">
        <x:v>22</x:v>
      </x:c>
      <x:c r="C191" t="str">
        <x:v>A</x:v>
      </x:c>
      <x:c r="D191" s="42" t="n">
        <x:v>688</x:v>
      </x:c>
      <x:c r="E191" s="44"/>
      <x:c r="F191" s="44"/>
      <x:c r="G191" s="44"/>
      <x:c r="H191" s="42" t="str">
        <x:f>IF(COUNT(E191:G191)=0,"",E191+IF(F191="",0,F191)-IF(G191="",0,G191))</x:f>
      </x:c>
      <x:c r="I191" s="42" t="str">
        <x:f>IF(H191="","",MAX(0,L191-H191))</x:f>
      </x:c>
      <x:c r="J191" t="str">
        <x:f>IF(H191="","UNKNOWN - inventory not entered",IF(H191&lt;=D191,"REORDER NOW",IF(H191&lt;=1.2*D191,"WATCH","OK")))</x:f>
        <x:v>UNKNOWN - inventory not entered</x:v>
      </x:c>
      <x:c r="K191" t="str">
        <x:v>Medium</x:v>
      </x:c>
      <x:c r="L191" t="n">
        <x:v>1012</x:v>
      </x:c>
    </x:row>
    <x:row r="192">
      <x:c r="A192" t="n">
        <x:v>1</x:v>
      </x:c>
      <x:c r="B192" t="n">
        <x:v>35</x:v>
      </x:c>
      <x:c r="C192" t="str">
        <x:v>A</x:v>
      </x:c>
      <x:c r="D192" s="42" t="n">
        <x:v>740</x:v>
      </x:c>
      <x:c r="E192" s="44"/>
      <x:c r="F192" s="44"/>
      <x:c r="G192" s="44"/>
      <x:c r="H192" s="42" t="str">
        <x:f>IF(COUNT(E192:G192)=0,"",E192+IF(F192="",0,F192)-IF(G192="",0,G192))</x:f>
      </x:c>
      <x:c r="I192" s="42" t="str">
        <x:f>IF(H192="","",MAX(0,L192-H192))</x:f>
      </x:c>
      <x:c r="J192" t="str">
        <x:f>IF(H192="","UNKNOWN - inventory not entered",IF(H192&lt;=D192,"REORDER NOW",IF(H192&lt;=1.2*D192,"WATCH","OK")))</x:f>
        <x:v>UNKNOWN - inventory not entered</x:v>
      </x:c>
      <x:c r="K192" t="str">
        <x:v>Medium</x:v>
      </x:c>
      <x:c r="L192" t="n">
        <x:v>1092</x:v>
      </x:c>
    </x:row>
    <x:row r="193">
      <x:c r="A193" t="n">
        <x:v>10</x:v>
      </x:c>
      <x:c r="B193" t="n">
        <x:v>43</x:v>
      </x:c>
      <x:c r="C193" t="str">
        <x:v>A</x:v>
      </x:c>
      <x:c r="D193" s="42" t="n">
        <x:v>717</x:v>
      </x:c>
      <x:c r="E193" s="44"/>
      <x:c r="F193" s="44"/>
      <x:c r="G193" s="44"/>
      <x:c r="H193" s="42" t="str">
        <x:f>IF(COUNT(E193:G193)=0,"",E193+IF(F193="",0,F193)-IF(G193="",0,G193))</x:f>
      </x:c>
      <x:c r="I193" s="42" t="str">
        <x:f>IF(H193="","",MAX(0,L193-H193))</x:f>
      </x:c>
      <x:c r="J193" t="str">
        <x:f>IF(H193="","UNKNOWN - inventory not entered",IF(H193&lt;=D193,"REORDER NOW",IF(H193&lt;=1.2*D193,"WATCH","OK")))</x:f>
        <x:v>UNKNOWN - inventory not entered</x:v>
      </x:c>
      <x:c r="K193" t="str">
        <x:v>Medium</x:v>
      </x:c>
      <x:c r="L193" t="n">
        <x:v>1073</x:v>
      </x:c>
    </x:row>
    <x:row r="194">
      <x:c r="A194" t="n">
        <x:v>5</x:v>
      </x:c>
      <x:c r="B194" t="n">
        <x:v>8</x:v>
      </x:c>
      <x:c r="C194" t="str">
        <x:v>A</x:v>
      </x:c>
      <x:c r="D194" s="42" t="n">
        <x:v>691</x:v>
      </x:c>
      <x:c r="E194" s="44"/>
      <x:c r="F194" s="44"/>
      <x:c r="G194" s="44"/>
      <x:c r="H194" s="42" t="str">
        <x:f>IF(COUNT(E194:G194)=0,"",E194+IF(F194="",0,F194)-IF(G194="",0,G194))</x:f>
      </x:c>
      <x:c r="I194" s="42" t="str">
        <x:f>IF(H194="","",MAX(0,L194-H194))</x:f>
      </x:c>
      <x:c r="J194" t="str">
        <x:f>IF(H194="","UNKNOWN - inventory not entered",IF(H194&lt;=D194,"REORDER NOW",IF(H194&lt;=1.2*D194,"WATCH","OK")))</x:f>
        <x:v>UNKNOWN - inventory not entered</x:v>
      </x:c>
      <x:c r="K194" t="str">
        <x:v>Medium</x:v>
      </x:c>
      <x:c r="L194" t="n">
        <x:v>1027</x:v>
      </x:c>
    </x:row>
    <x:row r="195">
      <x:c r="A195" t="n">
        <x:v>7</x:v>
      </x:c>
      <x:c r="B195" t="n">
        <x:v>18</x:v>
      </x:c>
      <x:c r="C195" t="str">
        <x:v>A</x:v>
      </x:c>
      <x:c r="D195" s="42" t="n">
        <x:v>734</x:v>
      </x:c>
      <x:c r="E195" s="44"/>
      <x:c r="F195" s="44"/>
      <x:c r="G195" s="44"/>
      <x:c r="H195" s="42" t="str">
        <x:f>IF(COUNT(E195:G195)=0,"",E195+IF(F195="",0,F195)-IF(G195="",0,G195))</x:f>
      </x:c>
      <x:c r="I195" s="42" t="str">
        <x:f>IF(H195="","",MAX(0,L195-H195))</x:f>
      </x:c>
      <x:c r="J195" t="str">
        <x:f>IF(H195="","UNKNOWN - inventory not entered",IF(H195&lt;=D195,"REORDER NOW",IF(H195&lt;=1.2*D195,"WATCH","OK")))</x:f>
        <x:v>UNKNOWN - inventory not entered</x:v>
      </x:c>
      <x:c r="K195" t="str">
        <x:v>Medium</x:v>
      </x:c>
      <x:c r="L195" t="n">
        <x:v>1055</x:v>
      </x:c>
    </x:row>
    <x:row r="196">
      <x:c r="A196" t="n">
        <x:v>7</x:v>
      </x:c>
      <x:c r="B196" t="n">
        <x:v>13</x:v>
      </x:c>
      <x:c r="C196" t="str">
        <x:v>A</x:v>
      </x:c>
      <x:c r="D196" s="42" t="n">
        <x:v>700</x:v>
      </x:c>
      <x:c r="E196" s="44"/>
      <x:c r="F196" s="44"/>
      <x:c r="G196" s="44"/>
      <x:c r="H196" s="42" t="str">
        <x:f>IF(COUNT(E196:G196)=0,"",E196+IF(F196="",0,F196)-IF(G196="",0,G196))</x:f>
      </x:c>
      <x:c r="I196" s="42" t="str">
        <x:f>IF(H196="","",MAX(0,L196-H196))</x:f>
      </x:c>
      <x:c r="J196" t="str">
        <x:f>IF(H196="","UNKNOWN - inventory not entered",IF(H196&lt;=D196,"REORDER NOW",IF(H196&lt;=1.2*D196,"WATCH","OK")))</x:f>
        <x:v>UNKNOWN - inventory not entered</x:v>
      </x:c>
      <x:c r="K196" t="str">
        <x:v>Medium</x:v>
      </x:c>
      <x:c r="L196" t="n">
        <x:v>1002</x:v>
      </x:c>
    </x:row>
    <x:row r="197">
      <x:c r="A197" t="n">
        <x:v>8</x:v>
      </x:c>
      <x:c r="B197" t="n">
        <x:v>26</x:v>
      </x:c>
      <x:c r="C197" t="str">
        <x:v>A</x:v>
      </x:c>
      <x:c r="D197" s="42" t="n">
        <x:v>697</x:v>
      </x:c>
      <x:c r="E197" s="44"/>
      <x:c r="F197" s="44"/>
      <x:c r="G197" s="44"/>
      <x:c r="H197" s="42" t="str">
        <x:f>IF(COUNT(E197:G197)=0,"",E197+IF(F197="",0,F197)-IF(G197="",0,G197))</x:f>
      </x:c>
      <x:c r="I197" s="42" t="str">
        <x:f>IF(H197="","",MAX(0,L197-H197))</x:f>
      </x:c>
      <x:c r="J197" t="str">
        <x:f>IF(H197="","UNKNOWN - inventory not entered",IF(H197&lt;=D197,"REORDER NOW",IF(H197&lt;=1.2*D197,"WATCH","OK")))</x:f>
        <x:v>UNKNOWN - inventory not entered</x:v>
      </x:c>
      <x:c r="K197" t="str">
        <x:v>Medium</x:v>
      </x:c>
      <x:c r="L197" t="n">
        <x:v>1033</x:v>
      </x:c>
    </x:row>
    <x:row r="198">
      <x:c r="A198" t="n">
        <x:v>6</x:v>
      </x:c>
      <x:c r="B198" t="n">
        <x:v>36</x:v>
      </x:c>
      <x:c r="C198" t="str">
        <x:v>A</x:v>
      </x:c>
      <x:c r="D198" s="42" t="n">
        <x:v>663</x:v>
      </x:c>
      <x:c r="E198" s="44"/>
      <x:c r="F198" s="44"/>
      <x:c r="G198" s="44"/>
      <x:c r="H198" s="42" t="str">
        <x:f>IF(COUNT(E198:G198)=0,"",E198+IF(F198="",0,F198)-IF(G198="",0,G198))</x:f>
      </x:c>
      <x:c r="I198" s="42" t="str">
        <x:f>IF(H198="","",MAX(0,L198-H198))</x:f>
      </x:c>
      <x:c r="J198" t="str">
        <x:f>IF(H198="","UNKNOWN - inventory not entered",IF(H198&lt;=D198,"REORDER NOW",IF(H198&lt;=1.2*D198,"WATCH","OK")))</x:f>
        <x:v>UNKNOWN - inventory not entered</x:v>
      </x:c>
      <x:c r="K198" t="str">
        <x:v>Medium</x:v>
      </x:c>
      <x:c r="L198" t="n">
        <x:v>1026</x:v>
      </x:c>
    </x:row>
    <x:row r="199">
      <x:c r="A199" t="n">
        <x:v>3</x:v>
      </x:c>
      <x:c r="B199" t="n">
        <x:v>9</x:v>
      </x:c>
      <x:c r="C199" t="str">
        <x:v>A</x:v>
      </x:c>
      <x:c r="D199" s="42" t="n">
        <x:v>710</x:v>
      </x:c>
      <x:c r="E199" s="44"/>
      <x:c r="F199" s="44"/>
      <x:c r="G199" s="44"/>
      <x:c r="H199" s="42" t="str">
        <x:f>IF(COUNT(E199:G199)=0,"",E199+IF(F199="",0,F199)-IF(G199="",0,G199))</x:f>
      </x:c>
      <x:c r="I199" s="42" t="str">
        <x:f>IF(H199="","",MAX(0,L199-H199))</x:f>
      </x:c>
      <x:c r="J199" t="str">
        <x:f>IF(H199="","UNKNOWN - inventory not entered",IF(H199&lt;=D199,"REORDER NOW",IF(H199&lt;=1.2*D199,"WATCH","OK")))</x:f>
        <x:v>UNKNOWN - inventory not entered</x:v>
      </x:c>
      <x:c r="K199" t="str">
        <x:v>Medium</x:v>
      </x:c>
      <x:c r="L199" t="n">
        <x:v>1047</x:v>
      </x:c>
    </x:row>
    <x:row r="200">
      <x:c r="A200" t="n">
        <x:v>10</x:v>
      </x:c>
      <x:c r="B200" t="n">
        <x:v>9</x:v>
      </x:c>
      <x:c r="C200" t="str">
        <x:v>A</x:v>
      </x:c>
      <x:c r="D200" s="42" t="n">
        <x:v>691</x:v>
      </x:c>
      <x:c r="E200" s="44"/>
      <x:c r="F200" s="44"/>
      <x:c r="G200" s="44"/>
      <x:c r="H200" s="42" t="str">
        <x:f>IF(COUNT(E200:G200)=0,"",E200+IF(F200="",0,F200)-IF(G200="",0,G200))</x:f>
      </x:c>
      <x:c r="I200" s="42" t="str">
        <x:f>IF(H200="","",MAX(0,L200-H200))</x:f>
      </x:c>
      <x:c r="J200" t="str">
        <x:f>IF(H200="","UNKNOWN - inventory not entered",IF(H200&lt;=D200,"REORDER NOW",IF(H200&lt;=1.2*D200,"WATCH","OK")))</x:f>
        <x:v>UNKNOWN - inventory not entered</x:v>
      </x:c>
      <x:c r="K200" t="str">
        <x:v>Medium</x:v>
      </x:c>
      <x:c r="L200" t="n">
        <x:v>1022</x:v>
      </x:c>
    </x:row>
    <x:row r="201">
      <x:c r="A201" t="n">
        <x:v>3</x:v>
      </x:c>
      <x:c r="B201" t="n">
        <x:v>43</x:v>
      </x:c>
      <x:c r="C201" t="str">
        <x:v>A</x:v>
      </x:c>
      <x:c r="D201" s="42" t="n">
        <x:v>649</x:v>
      </x:c>
      <x:c r="E201" s="44"/>
      <x:c r="F201" s="44"/>
      <x:c r="G201" s="44"/>
      <x:c r="H201" s="42" t="str">
        <x:f>IF(COUNT(E201:G201)=0,"",E201+IF(F201="",0,F201)-IF(G201="",0,G201))</x:f>
      </x:c>
      <x:c r="I201" s="42" t="str">
        <x:f>IF(H201="","",MAX(0,L201-H201))</x:f>
      </x:c>
      <x:c r="J201" t="str">
        <x:f>IF(H201="","UNKNOWN - inventory not entered",IF(H201&lt;=D201,"REORDER NOW",IF(H201&lt;=1.2*D201,"WATCH","OK")))</x:f>
        <x:v>UNKNOWN - inventory not entered</x:v>
      </x:c>
      <x:c r="K201" t="str">
        <x:v>Medium</x:v>
      </x:c>
      <x:c r="L201" t="n">
        <x:v>940</x:v>
      </x:c>
    </x:row>
    <x:row r="202">
      <x:c r="A202" t="n">
        <x:v>3</x:v>
      </x:c>
      <x:c r="B202" t="n">
        <x:v>48</x:v>
      </x:c>
      <x:c r="C202" t="str">
        <x:v>A</x:v>
      </x:c>
      <x:c r="D202" s="42" t="n">
        <x:v>698</x:v>
      </x:c>
      <x:c r="E202" s="44"/>
      <x:c r="F202" s="44"/>
      <x:c r="G202" s="44"/>
      <x:c r="H202" s="42" t="str">
        <x:f>IF(COUNT(E202:G202)=0,"",E202+IF(F202="",0,F202)-IF(G202="",0,G202))</x:f>
      </x:c>
      <x:c r="I202" s="42" t="str">
        <x:f>IF(H202="","",MAX(0,L202-H202))</x:f>
      </x:c>
      <x:c r="J202" t="str">
        <x:f>IF(H202="","UNKNOWN - inventory not entered",IF(H202&lt;=D202,"REORDER NOW",IF(H202&lt;=1.2*D202,"WATCH","OK")))</x:f>
        <x:v>UNKNOWN - inventory not entered</x:v>
      </x:c>
      <x:c r="K202" t="str">
        <x:v>Medium</x:v>
      </x:c>
      <x:c r="L202" t="n">
        <x:v>1043</x:v>
      </x:c>
    </x:row>
    <x:row r="203">
      <x:c r="A203" t="n">
        <x:v>8</x:v>
      </x:c>
      <x:c r="B203" t="n">
        <x:v>20</x:v>
      </x:c>
      <x:c r="C203" t="str">
        <x:v>A</x:v>
      </x:c>
      <x:c r="D203" s="42" t="n">
        <x:v>676</x:v>
      </x:c>
      <x:c r="E203" s="44"/>
      <x:c r="F203" s="44"/>
      <x:c r="G203" s="44"/>
      <x:c r="H203" s="42" t="str">
        <x:f>IF(COUNT(E203:G203)=0,"",E203+IF(F203="",0,F203)-IF(G203="",0,G203))</x:f>
      </x:c>
      <x:c r="I203" s="42" t="str">
        <x:f>IF(H203="","",MAX(0,L203-H203))</x:f>
      </x:c>
      <x:c r="J203" t="str">
        <x:f>IF(H203="","UNKNOWN - inventory not entered",IF(H203&lt;=D203,"REORDER NOW",IF(H203&lt;=1.2*D203,"WATCH","OK")))</x:f>
        <x:v>UNKNOWN - inventory not entered</x:v>
      </x:c>
      <x:c r="K203" t="str">
        <x:v>Medium</x:v>
      </x:c>
      <x:c r="L203" t="n">
        <x:v>1031</x:v>
      </x:c>
    </x:row>
    <x:row r="204">
      <x:c r="A204" t="n">
        <x:v>10</x:v>
      </x:c>
      <x:c r="B204" t="n">
        <x:v>48</x:v>
      </x:c>
      <x:c r="C204" t="str">
        <x:v>A</x:v>
      </x:c>
      <x:c r="D204" s="42" t="n">
        <x:v>655</x:v>
      </x:c>
      <x:c r="E204" s="44"/>
      <x:c r="F204" s="44"/>
      <x:c r="G204" s="44"/>
      <x:c r="H204" s="42" t="str">
        <x:f>IF(COUNT(E204:G204)=0,"",E204+IF(F204="",0,F204)-IF(G204="",0,G204))</x:f>
      </x:c>
      <x:c r="I204" s="42" t="str">
        <x:f>IF(H204="","",MAX(0,L204-H204))</x:f>
      </x:c>
      <x:c r="J204" t="str">
        <x:f>IF(H204="","UNKNOWN - inventory not entered",IF(H204&lt;=D204,"REORDER NOW",IF(H204&lt;=1.2*D204,"WATCH","OK")))</x:f>
        <x:v>UNKNOWN - inventory not entered</x:v>
      </x:c>
      <x:c r="K204" t="str">
        <x:v>Medium</x:v>
      </x:c>
      <x:c r="L204" t="n">
        <x:v>979</x:v>
      </x:c>
    </x:row>
    <x:row r="205">
      <x:c r="A205" t="n">
        <x:v>5</x:v>
      </x:c>
      <x:c r="B205" t="n">
        <x:v>36</x:v>
      </x:c>
      <x:c r="C205" t="str">
        <x:v>A</x:v>
      </x:c>
      <x:c r="D205" s="42" t="n">
        <x:v>656</x:v>
      </x:c>
      <x:c r="E205" s="44"/>
      <x:c r="F205" s="44"/>
      <x:c r="G205" s="44"/>
      <x:c r="H205" s="42" t="str">
        <x:f>IF(COUNT(E205:G205)=0,"",E205+IF(F205="",0,F205)-IF(G205="",0,G205))</x:f>
      </x:c>
      <x:c r="I205" s="42" t="str">
        <x:f>IF(H205="","",MAX(0,L205-H205))</x:f>
      </x:c>
      <x:c r="J205" t="str">
        <x:f>IF(H205="","UNKNOWN - inventory not entered",IF(H205&lt;=D205,"REORDER NOW",IF(H205&lt;=1.2*D205,"WATCH","OK")))</x:f>
        <x:v>UNKNOWN - inventory not entered</x:v>
      </x:c>
      <x:c r="K205" t="str">
        <x:v>Medium</x:v>
      </x:c>
      <x:c r="L205" t="n">
        <x:v>1008</x:v>
      </x:c>
    </x:row>
    <x:row r="206">
      <x:c r="A206" t="n">
        <x:v>6</x:v>
      </x:c>
      <x:c r="B206" t="n">
        <x:v>8</x:v>
      </x:c>
      <x:c r="C206" t="str">
        <x:v>A</x:v>
      </x:c>
      <x:c r="D206" s="42" t="n">
        <x:v>659</x:v>
      </x:c>
      <x:c r="E206" s="44"/>
      <x:c r="F206" s="44"/>
      <x:c r="G206" s="44"/>
      <x:c r="H206" s="42" t="str">
        <x:f>IF(COUNT(E206:G206)=0,"",E206+IF(F206="",0,F206)-IF(G206="",0,G206))</x:f>
      </x:c>
      <x:c r="I206" s="42" t="str">
        <x:f>IF(H206="","",MAX(0,L206-H206))</x:f>
      </x:c>
      <x:c r="J206" t="str">
        <x:f>IF(H206="","UNKNOWN - inventory not entered",IF(H206&lt;=D206,"REORDER NOW",IF(H206&lt;=1.2*D206,"WATCH","OK")))</x:f>
        <x:v>UNKNOWN - inventory not entered</x:v>
      </x:c>
      <x:c r="K206" t="str">
        <x:v>Medium</x:v>
      </x:c>
      <x:c r="L206" t="n">
        <x:v>996</x:v>
      </x:c>
    </x:row>
    <x:row r="207">
      <x:c r="A207" t="n">
        <x:v>5</x:v>
      </x:c>
      <x:c r="B207" t="n">
        <x:v>10</x:v>
      </x:c>
      <x:c r="C207" t="str">
        <x:v>A</x:v>
      </x:c>
      <x:c r="D207" s="42" t="n">
        <x:v>697</x:v>
      </x:c>
      <x:c r="E207" s="44"/>
      <x:c r="F207" s="44"/>
      <x:c r="G207" s="44"/>
      <x:c r="H207" s="42" t="str">
        <x:f>IF(COUNT(E207:G207)=0,"",E207+IF(F207="",0,F207)-IF(G207="",0,G207))</x:f>
      </x:c>
      <x:c r="I207" s="42" t="str">
        <x:f>IF(H207="","",MAX(0,L207-H207))</x:f>
      </x:c>
      <x:c r="J207" t="str">
        <x:f>IF(H207="","UNKNOWN - inventory not entered",IF(H207&lt;=D207,"REORDER NOW",IF(H207&lt;=1.2*D207,"WATCH","OK")))</x:f>
        <x:v>UNKNOWN - inventory not entered</x:v>
      </x:c>
      <x:c r="K207" t="str">
        <x:v>Medium</x:v>
      </x:c>
      <x:c r="L207" t="n">
        <x:v>1006</x:v>
      </x:c>
    </x:row>
    <x:row r="208">
      <x:c r="A208" t="n">
        <x:v>7</x:v>
      </x:c>
      <x:c r="B208" t="n">
        <x:v>25</x:v>
      </x:c>
      <x:c r="C208" t="str">
        <x:v>A</x:v>
      </x:c>
      <x:c r="D208" s="42" t="n">
        <x:v>663</x:v>
      </x:c>
      <x:c r="E208" s="44"/>
      <x:c r="F208" s="44"/>
      <x:c r="G208" s="44"/>
      <x:c r="H208" s="42" t="str">
        <x:f>IF(COUNT(E208:G208)=0,"",E208+IF(F208="",0,F208)-IF(G208="",0,G208))</x:f>
      </x:c>
      <x:c r="I208" s="42" t="str">
        <x:f>IF(H208="","",MAX(0,L208-H208))</x:f>
      </x:c>
      <x:c r="J208" t="str">
        <x:f>IF(H208="","UNKNOWN - inventory not entered",IF(H208&lt;=D208,"REORDER NOW",IF(H208&lt;=1.2*D208,"WATCH","OK")))</x:f>
        <x:v>UNKNOWN - inventory not entered</x:v>
      </x:c>
      <x:c r="K208" t="str">
        <x:v>Medium</x:v>
      </x:c>
      <x:c r="L208" t="n">
        <x:v>967</x:v>
      </x:c>
    </x:row>
    <x:row r="209">
      <x:c r="A209" t="n">
        <x:v>2</x:v>
      </x:c>
      <x:c r="B209" t="n">
        <x:v>39</x:v>
      </x:c>
      <x:c r="C209" t="str">
        <x:v>A</x:v>
      </x:c>
      <x:c r="D209" s="42" t="n">
        <x:v>684</x:v>
      </x:c>
      <x:c r="E209" s="44"/>
      <x:c r="F209" s="44"/>
      <x:c r="G209" s="44"/>
      <x:c r="H209" s="42" t="str">
        <x:f>IF(COUNT(E209:G209)=0,"",E209+IF(F209="",0,F209)-IF(G209="",0,G209))</x:f>
      </x:c>
      <x:c r="I209" s="42" t="str">
        <x:f>IF(H209="","",MAX(0,L209-H209))</x:f>
      </x:c>
      <x:c r="J209" t="str">
        <x:f>IF(H209="","UNKNOWN - inventory not entered",IF(H209&lt;=D209,"REORDER NOW",IF(H209&lt;=1.2*D209,"WATCH","OK")))</x:f>
        <x:v>UNKNOWN - inventory not entered</x:v>
      </x:c>
      <x:c r="K209" t="str">
        <x:v>Medium</x:v>
      </x:c>
      <x:c r="L209" t="n">
        <x:v>978</x:v>
      </x:c>
    </x:row>
    <x:row r="210">
      <x:c r="A210" t="n">
        <x:v>3</x:v>
      </x:c>
      <x:c r="B210" t="n">
        <x:v>20</x:v>
      </x:c>
      <x:c r="C210" t="str">
        <x:v>A</x:v>
      </x:c>
      <x:c r="D210" s="42" t="n">
        <x:v>679</x:v>
      </x:c>
      <x:c r="E210" s="44"/>
      <x:c r="F210" s="44"/>
      <x:c r="G210" s="44"/>
      <x:c r="H210" s="42" t="str">
        <x:f>IF(COUNT(E210:G210)=0,"",E210+IF(F210="",0,F210)-IF(G210="",0,G210))</x:f>
      </x:c>
      <x:c r="I210" s="42" t="str">
        <x:f>IF(H210="","",MAX(0,L210-H210))</x:f>
      </x:c>
      <x:c r="J210" t="str">
        <x:f>IF(H210="","UNKNOWN - inventory not entered",IF(H210&lt;=D210,"REORDER NOW",IF(H210&lt;=1.2*D210,"WATCH","OK")))</x:f>
        <x:v>UNKNOWN - inventory not entered</x:v>
      </x:c>
      <x:c r="K210" t="str">
        <x:v>Medium</x:v>
      </x:c>
      <x:c r="L210" t="n">
        <x:v>1002</x:v>
      </x:c>
    </x:row>
    <x:row r="211">
      <x:c r="A211" t="n">
        <x:v>9</x:v>
      </x:c>
      <x:c r="B211" t="n">
        <x:v>48</x:v>
      </x:c>
      <x:c r="C211" t="str">
        <x:v>A</x:v>
      </x:c>
      <x:c r="D211" s="42" t="n">
        <x:v>663</x:v>
      </x:c>
      <x:c r="E211" s="44"/>
      <x:c r="F211" s="44"/>
      <x:c r="G211" s="44"/>
      <x:c r="H211" s="42" t="str">
        <x:f>IF(COUNT(E211:G211)=0,"",E211+IF(F211="",0,F211)-IF(G211="",0,G211))</x:f>
      </x:c>
      <x:c r="I211" s="42" t="str">
        <x:f>IF(H211="","",MAX(0,L211-H211))</x:f>
      </x:c>
      <x:c r="J211" t="str">
        <x:f>IF(H211="","UNKNOWN - inventory not entered",IF(H211&lt;=D211,"REORDER NOW",IF(H211&lt;=1.2*D211,"WATCH","OK")))</x:f>
        <x:v>UNKNOWN - inventory not entered</x:v>
      </x:c>
      <x:c r="K211" t="str">
        <x:v>Medium</x:v>
      </x:c>
      <x:c r="L211" t="n">
        <x:v>976</x:v>
      </x:c>
    </x:row>
    <x:row r="212">
      <x:c r="A212" t="n">
        <x:v>7</x:v>
      </x:c>
      <x:c r="B212" t="n">
        <x:v>8</x:v>
      </x:c>
      <x:c r="C212" t="str">
        <x:v>A</x:v>
      </x:c>
      <x:c r="D212" s="42" t="n">
        <x:v>653</x:v>
      </x:c>
      <x:c r="E212" s="44"/>
      <x:c r="F212" s="44"/>
      <x:c r="G212" s="44"/>
      <x:c r="H212" s="42" t="str">
        <x:f>IF(COUNT(E212:G212)=0,"",E212+IF(F212="",0,F212)-IF(G212="",0,G212))</x:f>
      </x:c>
      <x:c r="I212" s="42" t="str">
        <x:f>IF(H212="","",MAX(0,L212-H212))</x:f>
      </x:c>
      <x:c r="J212" t="str">
        <x:f>IF(H212="","UNKNOWN - inventory not entered",IF(H212&lt;=D212,"REORDER NOW",IF(H212&lt;=1.2*D212,"WATCH","OK")))</x:f>
        <x:v>UNKNOWN - inventory not entered</x:v>
      </x:c>
      <x:c r="K212" t="str">
        <x:v>Medium</x:v>
      </x:c>
      <x:c r="L212" t="n">
        <x:v>981</x:v>
      </x:c>
    </x:row>
    <x:row r="213">
      <x:c r="A213" t="n">
        <x:v>10</x:v>
      </x:c>
      <x:c r="B213" t="n">
        <x:v>26</x:v>
      </x:c>
      <x:c r="C213" t="str">
        <x:v>A</x:v>
      </x:c>
      <x:c r="D213" s="42" t="n">
        <x:v>615</x:v>
      </x:c>
      <x:c r="E213" s="44"/>
      <x:c r="F213" s="44"/>
      <x:c r="G213" s="44"/>
      <x:c r="H213" s="42" t="str">
        <x:f>IF(COUNT(E213:G213)=0,"",E213+IF(F213="",0,F213)-IF(G213="",0,G213))</x:f>
      </x:c>
      <x:c r="I213" s="42" t="str">
        <x:f>IF(H213="","",MAX(0,L213-H213))</x:f>
      </x:c>
      <x:c r="J213" t="str">
        <x:f>IF(H213="","UNKNOWN - inventory not entered",IF(H213&lt;=D213,"REORDER NOW",IF(H213&lt;=1.2*D213,"WATCH","OK")))</x:f>
        <x:v>UNKNOWN - inventory not entered</x:v>
      </x:c>
      <x:c r="K213" t="str">
        <x:v>Medium</x:v>
      </x:c>
      <x:c r="L213" t="n">
        <x:v>951</x:v>
      </x:c>
    </x:row>
    <x:row r="214">
      <x:c r="A214" t="n">
        <x:v>7</x:v>
      </x:c>
      <x:c r="B214" t="n">
        <x:v>22</x:v>
      </x:c>
      <x:c r="C214" t="str">
        <x:v>A</x:v>
      </x:c>
      <x:c r="D214" s="42" t="n">
        <x:v>666</x:v>
      </x:c>
      <x:c r="E214" s="44"/>
      <x:c r="F214" s="44"/>
      <x:c r="G214" s="44"/>
      <x:c r="H214" s="42" t="str">
        <x:f>IF(COUNT(E214:G214)=0,"",E214+IF(F214="",0,F214)-IF(G214="",0,G214))</x:f>
      </x:c>
      <x:c r="I214" s="42" t="str">
        <x:f>IF(H214="","",MAX(0,L214-H214))</x:f>
      </x:c>
      <x:c r="J214" t="str">
        <x:f>IF(H214="","UNKNOWN - inventory not entered",IF(H214&lt;=D214,"REORDER NOW",IF(H214&lt;=1.2*D214,"WATCH","OK")))</x:f>
        <x:v>UNKNOWN - inventory not entered</x:v>
      </x:c>
      <x:c r="K214" t="str">
        <x:v>Medium</x:v>
      </x:c>
      <x:c r="L214" t="n">
        <x:v>974</x:v>
      </x:c>
    </x:row>
    <x:row r="215">
      <x:c r="A215" t="n">
        <x:v>7</x:v>
      </x:c>
      <x:c r="B215" t="n">
        <x:v>45</x:v>
      </x:c>
      <x:c r="C215" t="str">
        <x:v>A</x:v>
      </x:c>
      <x:c r="D215" s="42" t="n">
        <x:v>681</x:v>
      </x:c>
      <x:c r="E215" s="44"/>
      <x:c r="F215" s="44"/>
      <x:c r="G215" s="44"/>
      <x:c r="H215" s="42" t="str">
        <x:f>IF(COUNT(E215:G215)=0,"",E215+IF(F215="",0,F215)-IF(G215="",0,G215))</x:f>
      </x:c>
      <x:c r="I215" s="42" t="str">
        <x:f>IF(H215="","",MAX(0,L215-H215))</x:f>
      </x:c>
      <x:c r="J215" t="str">
        <x:f>IF(H215="","UNKNOWN - inventory not entered",IF(H215&lt;=D215,"REORDER NOW",IF(H215&lt;=1.2*D215,"WATCH","OK")))</x:f>
        <x:v>UNKNOWN - inventory not entered</x:v>
      </x:c>
      <x:c r="K215" t="str">
        <x:v>Medium</x:v>
      </x:c>
      <x:c r="L215" t="n">
        <x:v>999</x:v>
      </x:c>
    </x:row>
    <x:row r="216">
      <x:c r="A216" t="n">
        <x:v>6</x:v>
      </x:c>
      <x:c r="B216" t="n">
        <x:v>10</x:v>
      </x:c>
      <x:c r="C216" t="str">
        <x:v>A</x:v>
      </x:c>
      <x:c r="D216" s="42" t="n">
        <x:v>693</x:v>
      </x:c>
      <x:c r="E216" s="44"/>
      <x:c r="F216" s="44"/>
      <x:c r="G216" s="44"/>
      <x:c r="H216" s="42" t="str">
        <x:f>IF(COUNT(E216:G216)=0,"",E216+IF(F216="",0,F216)-IF(G216="",0,G216))</x:f>
      </x:c>
      <x:c r="I216" s="42" t="str">
        <x:f>IF(H216="","",MAX(0,L216-H216))</x:f>
      </x:c>
      <x:c r="J216" t="str">
        <x:f>IF(H216="","UNKNOWN - inventory not entered",IF(H216&lt;=D216,"REORDER NOW",IF(H216&lt;=1.2*D216,"WATCH","OK")))</x:f>
        <x:v>UNKNOWN - inventory not entered</x:v>
      </x:c>
      <x:c r="K216" t="str">
        <x:v>Medium</x:v>
      </x:c>
      <x:c r="L216" t="n">
        <x:v>1008</x:v>
      </x:c>
    </x:row>
    <x:row r="217">
      <x:c r="A217" t="n">
        <x:v>4</x:v>
      </x:c>
      <x:c r="B217" t="n">
        <x:v>43</x:v>
      </x:c>
      <x:c r="C217" t="str">
        <x:v>A</x:v>
      </x:c>
      <x:c r="D217" s="42" t="n">
        <x:v>604</x:v>
      </x:c>
      <x:c r="E217" s="44"/>
      <x:c r="F217" s="44"/>
      <x:c r="G217" s="44"/>
      <x:c r="H217" s="42" t="str">
        <x:f>IF(COUNT(E217:G217)=0,"",E217+IF(F217="",0,F217)-IF(G217="",0,G217))</x:f>
      </x:c>
      <x:c r="I217" s="42" t="str">
        <x:f>IF(H217="","",MAX(0,L217-H217))</x:f>
      </x:c>
      <x:c r="J217" t="str">
        <x:f>IF(H217="","UNKNOWN - inventory not entered",IF(H217&lt;=D217,"REORDER NOW",IF(H217&lt;=1.2*D217,"WATCH","OK")))</x:f>
        <x:v>UNKNOWN - inventory not entered</x:v>
      </x:c>
      <x:c r="K217" t="str">
        <x:v>Medium</x:v>
      </x:c>
      <x:c r="L217" t="n">
        <x:v>933</x:v>
      </x:c>
    </x:row>
    <x:row r="218">
      <x:c r="A218" t="n">
        <x:v>2</x:v>
      </x:c>
      <x:c r="B218" t="n">
        <x:v>32</x:v>
      </x:c>
      <x:c r="C218" t="str">
        <x:v>A</x:v>
      </x:c>
      <x:c r="D218" s="42" t="n">
        <x:v>648</x:v>
      </x:c>
      <x:c r="E218" s="44"/>
      <x:c r="F218" s="44"/>
      <x:c r="G218" s="44"/>
      <x:c r="H218" s="42" t="str">
        <x:f>IF(COUNT(E218:G218)=0,"",E218+IF(F218="",0,F218)-IF(G218="",0,G218))</x:f>
      </x:c>
      <x:c r="I218" s="42" t="str">
        <x:f>IF(H218="","",MAX(0,L218-H218))</x:f>
      </x:c>
      <x:c r="J218" t="str">
        <x:f>IF(H218="","UNKNOWN - inventory not entered",IF(H218&lt;=D218,"REORDER NOW",IF(H218&lt;=1.2*D218,"WATCH","OK")))</x:f>
        <x:v>UNKNOWN - inventory not entered</x:v>
      </x:c>
      <x:c r="K218" t="str">
        <x:v>Medium</x:v>
      </x:c>
      <x:c r="L218" t="n">
        <x:v>966</x:v>
      </x:c>
    </x:row>
    <x:row r="219">
      <x:c r="A219" t="n">
        <x:v>8</x:v>
      </x:c>
      <x:c r="B219" t="n">
        <x:v>32</x:v>
      </x:c>
      <x:c r="C219" t="str">
        <x:v>A</x:v>
      </x:c>
      <x:c r="D219" s="42" t="n">
        <x:v>610</x:v>
      </x:c>
      <x:c r="E219" s="44"/>
      <x:c r="F219" s="44"/>
      <x:c r="G219" s="44"/>
      <x:c r="H219" s="42" t="str">
        <x:f>IF(COUNT(E219:G219)=0,"",E219+IF(F219="",0,F219)-IF(G219="",0,G219))</x:f>
      </x:c>
      <x:c r="I219" s="42" t="str">
        <x:f>IF(H219="","",MAX(0,L219-H219))</x:f>
      </x:c>
      <x:c r="J219" t="str">
        <x:f>IF(H219="","UNKNOWN - inventory not entered",IF(H219&lt;=D219,"REORDER NOW",IF(H219&lt;=1.2*D219,"WATCH","OK")))</x:f>
        <x:v>UNKNOWN - inventory not entered</x:v>
      </x:c>
      <x:c r="K219" t="str">
        <x:v>Medium</x:v>
      </x:c>
      <x:c r="L219" t="n">
        <x:v>924</x:v>
      </x:c>
    </x:row>
    <x:row r="220">
      <x:c r="A220" t="n">
        <x:v>4</x:v>
      </x:c>
      <x:c r="B220" t="n">
        <x:v>9</x:v>
      </x:c>
      <x:c r="C220" t="str">
        <x:v>A</x:v>
      </x:c>
      <x:c r="D220" s="42" t="n">
        <x:v>611</x:v>
      </x:c>
      <x:c r="E220" s="44"/>
      <x:c r="F220" s="44"/>
      <x:c r="G220" s="44"/>
      <x:c r="H220" s="42" t="str">
        <x:f>IF(COUNT(E220:G220)=0,"",E220+IF(F220="",0,F220)-IF(G220="",0,G220))</x:f>
      </x:c>
      <x:c r="I220" s="42" t="str">
        <x:f>IF(H220="","",MAX(0,L220-H220))</x:f>
      </x:c>
      <x:c r="J220" t="str">
        <x:f>IF(H220="","UNKNOWN - inventory not entered",IF(H220&lt;=D220,"REORDER NOW",IF(H220&lt;=1.2*D220,"WATCH","OK")))</x:f>
        <x:v>UNKNOWN - inventory not entered</x:v>
      </x:c>
      <x:c r="K220" t="str">
        <x:v>Medium</x:v>
      </x:c>
      <x:c r="L220" t="n">
        <x:v>935</x:v>
      </x:c>
    </x:row>
    <x:row r="221">
      <x:c r="A221" t="n">
        <x:v>1</x:v>
      </x:c>
      <x:c r="B221" t="n">
        <x:v>6</x:v>
      </x:c>
      <x:c r="C221" t="str">
        <x:v>A</x:v>
      </x:c>
      <x:c r="D221" s="42" t="n">
        <x:v>665</x:v>
      </x:c>
      <x:c r="E221" s="44"/>
      <x:c r="F221" s="44"/>
      <x:c r="G221" s="44"/>
      <x:c r="H221" s="42" t="str">
        <x:f>IF(COUNT(E221:G221)=0,"",E221+IF(F221="",0,F221)-IF(G221="",0,G221))</x:f>
      </x:c>
      <x:c r="I221" s="42" t="str">
        <x:f>IF(H221="","",MAX(0,L221-H221))</x:f>
      </x:c>
      <x:c r="J221" t="str">
        <x:f>IF(H221="","UNKNOWN - inventory not entered",IF(H221&lt;=D221,"REORDER NOW",IF(H221&lt;=1.2*D221,"WATCH","OK")))</x:f>
        <x:v>UNKNOWN - inventory not entered</x:v>
      </x:c>
      <x:c r="K221" t="str">
        <x:v>Medium</x:v>
      </x:c>
      <x:c r="L221" t="n">
        <x:v>974</x:v>
      </x:c>
    </x:row>
    <x:row r="222">
      <x:c r="A222" t="n">
        <x:v>9</x:v>
      </x:c>
      <x:c r="B222" t="n">
        <x:v>9</x:v>
      </x:c>
      <x:c r="C222" t="str">
        <x:v>A</x:v>
      </x:c>
      <x:c r="D222" s="42" t="n">
        <x:v>641</x:v>
      </x:c>
      <x:c r="E222" s="44"/>
      <x:c r="F222" s="44"/>
      <x:c r="G222" s="44"/>
      <x:c r="H222" s="42" t="str">
        <x:f>IF(COUNT(E222:G222)=0,"",E222+IF(F222="",0,F222)-IF(G222="",0,G222))</x:f>
      </x:c>
      <x:c r="I222" s="42" t="str">
        <x:f>IF(H222="","",MAX(0,L222-H222))</x:f>
      </x:c>
      <x:c r="J222" t="str">
        <x:f>IF(H222="","UNKNOWN - inventory not entered",IF(H222&lt;=D222,"REORDER NOW",IF(H222&lt;=1.2*D222,"WATCH","OK")))</x:f>
        <x:v>UNKNOWN - inventory not entered</x:v>
      </x:c>
      <x:c r="K222" t="str">
        <x:v>Medium</x:v>
      </x:c>
      <x:c r="L222" t="n">
        <x:v>963</x:v>
      </x:c>
    </x:row>
    <x:row r="223">
      <x:c r="A223" t="n">
        <x:v>7</x:v>
      </x:c>
      <x:c r="B223" t="n">
        <x:v>38</x:v>
      </x:c>
      <x:c r="C223" t="str">
        <x:v>A</x:v>
      </x:c>
      <x:c r="D223" s="42" t="n">
        <x:v>642</x:v>
      </x:c>
      <x:c r="E223" s="44"/>
      <x:c r="F223" s="44"/>
      <x:c r="G223" s="44"/>
      <x:c r="H223" s="42" t="str">
        <x:f>IF(COUNT(E223:G223)=0,"",E223+IF(F223="",0,F223)-IF(G223="",0,G223))</x:f>
      </x:c>
      <x:c r="I223" s="42" t="str">
        <x:f>IF(H223="","",MAX(0,L223-H223))</x:f>
      </x:c>
      <x:c r="J223" t="str">
        <x:f>IF(H223="","UNKNOWN - inventory not entered",IF(H223&lt;=D223,"REORDER NOW",IF(H223&lt;=1.2*D223,"WATCH","OK")))</x:f>
        <x:v>UNKNOWN - inventory not entered</x:v>
      </x:c>
      <x:c r="K223" t="str">
        <x:v>Medium</x:v>
      </x:c>
      <x:c r="L223" t="n">
        <x:v>946</x:v>
      </x:c>
    </x:row>
    <x:row r="224">
      <x:c r="A224" t="n">
        <x:v>9</x:v>
      </x:c>
      <x:c r="B224" t="n">
        <x:v>43</x:v>
      </x:c>
      <x:c r="C224" t="str">
        <x:v>A</x:v>
      </x:c>
      <x:c r="D224" s="42" t="n">
        <x:v>686</x:v>
      </x:c>
      <x:c r="E224" s="44"/>
      <x:c r="F224" s="44"/>
      <x:c r="G224" s="44"/>
      <x:c r="H224" s="42" t="str">
        <x:f>IF(COUNT(E224:G224)=0,"",E224+IF(F224="",0,F224)-IF(G224="",0,G224))</x:f>
      </x:c>
      <x:c r="I224" s="42" t="str">
        <x:f>IF(H224="","",MAX(0,L224-H224))</x:f>
      </x:c>
      <x:c r="J224" t="str">
        <x:f>IF(H224="","UNKNOWN - inventory not entered",IF(H224&lt;=D224,"REORDER NOW",IF(H224&lt;=1.2*D224,"WATCH","OK")))</x:f>
        <x:v>UNKNOWN - inventory not entered</x:v>
      </x:c>
      <x:c r="K224" t="str">
        <x:v>Medium</x:v>
      </x:c>
      <x:c r="L224" t="n">
        <x:v>977</x:v>
      </x:c>
    </x:row>
    <x:row r="225">
      <x:c r="A225" t="n">
        <x:v>4</x:v>
      </x:c>
      <x:c r="B225" t="n">
        <x:v>48</x:v>
      </x:c>
      <x:c r="C225" t="str">
        <x:v>A</x:v>
      </x:c>
      <x:c r="D225" s="42" t="n">
        <x:v>681</x:v>
      </x:c>
      <x:c r="E225" s="44"/>
      <x:c r="F225" s="44"/>
      <x:c r="G225" s="44"/>
      <x:c r="H225" s="42" t="str">
        <x:f>IF(COUNT(E225:G225)=0,"",E225+IF(F225="",0,F225)-IF(G225="",0,G225))</x:f>
      </x:c>
      <x:c r="I225" s="42" t="str">
        <x:f>IF(H225="","",MAX(0,L225-H225))</x:f>
      </x:c>
      <x:c r="J225" t="str">
        <x:f>IF(H225="","UNKNOWN - inventory not entered",IF(H225&lt;=D225,"REORDER NOW",IF(H225&lt;=1.2*D225,"WATCH","OK")))</x:f>
        <x:v>UNKNOWN - inventory not entered</x:v>
      </x:c>
      <x:c r="K225" t="str">
        <x:v>Medium</x:v>
      </x:c>
      <x:c r="L225" t="n">
        <x:v>981</x:v>
      </x:c>
    </x:row>
    <x:row r="226">
      <x:c r="A226" t="n">
        <x:v>8</x:v>
      </x:c>
      <x:c r="B226" t="n">
        <x:v>39</x:v>
      </x:c>
      <x:c r="C226" t="str">
        <x:v>A</x:v>
      </x:c>
      <x:c r="D226" s="42" t="n">
        <x:v>651</x:v>
      </x:c>
      <x:c r="E226" s="44"/>
      <x:c r="F226" s="44"/>
      <x:c r="G226" s="44"/>
      <x:c r="H226" s="42" t="str">
        <x:f>IF(COUNT(E226:G226)=0,"",E226+IF(F226="",0,F226)-IF(G226="",0,G226))</x:f>
      </x:c>
      <x:c r="I226" s="42" t="str">
        <x:f>IF(H226="","",MAX(0,L226-H226))</x:f>
      </x:c>
      <x:c r="J226" t="str">
        <x:f>IF(H226="","UNKNOWN - inventory not entered",IF(H226&lt;=D226,"REORDER NOW",IF(H226&lt;=1.2*D226,"WATCH","OK")))</x:f>
        <x:v>UNKNOWN - inventory not entered</x:v>
      </x:c>
      <x:c r="K226" t="str">
        <x:v>Medium</x:v>
      </x:c>
      <x:c r="L226" t="n">
        <x:v>944</x:v>
      </x:c>
    </x:row>
    <x:row r="227">
      <x:c r="A227" t="n">
        <x:v>10</x:v>
      </x:c>
      <x:c r="B227" t="n">
        <x:v>20</x:v>
      </x:c>
      <x:c r="C227" t="str">
        <x:v>A</x:v>
      </x:c>
      <x:c r="D227" s="42" t="n">
        <x:v>668</x:v>
      </x:c>
      <x:c r="E227" s="44"/>
      <x:c r="F227" s="44"/>
      <x:c r="G227" s="44"/>
      <x:c r="H227" s="42" t="str">
        <x:f>IF(COUNT(E227:G227)=0,"",E227+IF(F227="",0,F227)-IF(G227="",0,G227))</x:f>
      </x:c>
      <x:c r="I227" s="42" t="str">
        <x:f>IF(H227="","",MAX(0,L227-H227))</x:f>
      </x:c>
      <x:c r="J227" t="str">
        <x:f>IF(H227="","UNKNOWN - inventory not entered",IF(H227&lt;=D227,"REORDER NOW",IF(H227&lt;=1.2*D227,"WATCH","OK")))</x:f>
        <x:v>UNKNOWN - inventory not entered</x:v>
      </x:c>
      <x:c r="K227" t="str">
        <x:v>Medium</x:v>
      </x:c>
      <x:c r="L227" t="n">
        <x:v>965</x:v>
      </x:c>
    </x:row>
    <x:row r="228">
      <x:c r="A228" t="n">
        <x:v>6</x:v>
      </x:c>
      <x:c r="B228" t="n">
        <x:v>29</x:v>
      </x:c>
      <x:c r="C228" t="str">
        <x:v>A</x:v>
      </x:c>
      <x:c r="D228" s="42" t="n">
        <x:v>627</x:v>
      </x:c>
      <x:c r="E228" s="44"/>
      <x:c r="F228" s="44"/>
      <x:c r="G228" s="44"/>
      <x:c r="H228" s="42" t="str">
        <x:f>IF(COUNT(E228:G228)=0,"",E228+IF(F228="",0,F228)-IF(G228="",0,G228))</x:f>
      </x:c>
      <x:c r="I228" s="42" t="str">
        <x:f>IF(H228="","",MAX(0,L228-H228))</x:f>
      </x:c>
      <x:c r="J228" t="str">
        <x:f>IF(H228="","UNKNOWN - inventory not entered",IF(H228&lt;=D228,"REORDER NOW",IF(H228&lt;=1.2*D228,"WATCH","OK")))</x:f>
        <x:v>UNKNOWN - inventory not entered</x:v>
      </x:c>
      <x:c r="K228" t="str">
        <x:v>Medium</x:v>
      </x:c>
      <x:c r="L228" t="n">
        <x:v>903</x:v>
      </x:c>
    </x:row>
    <x:row r="229">
      <x:c r="A229" t="n">
        <x:v>5</x:v>
      </x:c>
      <x:c r="B229" t="n">
        <x:v>33</x:v>
      </x:c>
      <x:c r="C229" t="str">
        <x:v>A</x:v>
      </x:c>
      <x:c r="D229" s="42" t="n">
        <x:v>617</x:v>
      </x:c>
      <x:c r="E229" s="44"/>
      <x:c r="F229" s="44"/>
      <x:c r="G229" s="44"/>
      <x:c r="H229" s="42" t="str">
        <x:f>IF(COUNT(E229:G229)=0,"",E229+IF(F229="",0,F229)-IF(G229="",0,G229))</x:f>
      </x:c>
      <x:c r="I229" s="42" t="str">
        <x:f>IF(H229="","",MAX(0,L229-H229))</x:f>
      </x:c>
      <x:c r="J229" t="str">
        <x:f>IF(H229="","UNKNOWN - inventory not entered",IF(H229&lt;=D229,"REORDER NOW",IF(H229&lt;=1.2*D229,"WATCH","OK")))</x:f>
        <x:v>UNKNOWN - inventory not entered</x:v>
      </x:c>
      <x:c r="K229" t="str">
        <x:v>Medium</x:v>
      </x:c>
      <x:c r="L229" t="n">
        <x:v>911</x:v>
      </x:c>
    </x:row>
    <x:row r="230">
      <x:c r="A230" t="n">
        <x:v>1</x:v>
      </x:c>
      <x:c r="B230" t="n">
        <x:v>46</x:v>
      </x:c>
      <x:c r="C230" t="str">
        <x:v>A</x:v>
      </x:c>
      <x:c r="D230" s="42" t="n">
        <x:v>681</x:v>
      </x:c>
      <x:c r="E230" s="44"/>
      <x:c r="F230" s="44"/>
      <x:c r="G230" s="44"/>
      <x:c r="H230" s="42" t="str">
        <x:f>IF(COUNT(E230:G230)=0,"",E230+IF(F230="",0,F230)-IF(G230="",0,G230))</x:f>
      </x:c>
      <x:c r="I230" s="42" t="str">
        <x:f>IF(H230="","",MAX(0,L230-H230))</x:f>
      </x:c>
      <x:c r="J230" t="str">
        <x:f>IF(H230="","UNKNOWN - inventory not entered",IF(H230&lt;=D230,"REORDER NOW",IF(H230&lt;=1.2*D230,"WATCH","OK")))</x:f>
        <x:v>UNKNOWN - inventory not entered</x:v>
      </x:c>
      <x:c r="K230" t="str">
        <x:v>Medium</x:v>
      </x:c>
      <x:c r="L230" t="n">
        <x:v>991</x:v>
      </x:c>
    </x:row>
    <x:row r="231">
      <x:c r="A231" t="n">
        <x:v>3</x:v>
      </x:c>
      <x:c r="B231" t="n">
        <x:v>26</x:v>
      </x:c>
      <x:c r="C231" t="str">
        <x:v>A</x:v>
      </x:c>
      <x:c r="D231" s="42" t="n">
        <x:v>648</x:v>
      </x:c>
      <x:c r="E231" s="44"/>
      <x:c r="F231" s="44"/>
      <x:c r="G231" s="44"/>
      <x:c r="H231" s="42" t="str">
        <x:f>IF(COUNT(E231:G231)=0,"",E231+IF(F231="",0,F231)-IF(G231="",0,G231))</x:f>
      </x:c>
      <x:c r="I231" s="42" t="str">
        <x:f>IF(H231="","",MAX(0,L231-H231))</x:f>
      </x:c>
      <x:c r="J231" t="str">
        <x:f>IF(H231="","UNKNOWN - inventory not entered",IF(H231&lt;=D231,"REORDER NOW",IF(H231&lt;=1.2*D231,"WATCH","OK")))</x:f>
        <x:v>UNKNOWN - inventory not entered</x:v>
      </x:c>
      <x:c r="K231" t="str">
        <x:v>Medium</x:v>
      </x:c>
      <x:c r="L231" t="n">
        <x:v>977</x:v>
      </x:c>
    </x:row>
    <x:row r="232">
      <x:c r="A232" t="n">
        <x:v>2</x:v>
      </x:c>
      <x:c r="B232" t="n">
        <x:v>19</x:v>
      </x:c>
      <x:c r="C232" t="str">
        <x:v>B</x:v>
      </x:c>
      <x:c r="D232" s="42" t="n">
        <x:v>641</x:v>
      </x:c>
      <x:c r="E232" s="44"/>
      <x:c r="F232" s="44"/>
      <x:c r="G232" s="44"/>
      <x:c r="H232" s="42" t="str">
        <x:f>IF(COUNT(E232:G232)=0,"",E232+IF(F232="",0,F232)-IF(G232="",0,G232))</x:f>
      </x:c>
      <x:c r="I232" s="42" t="str">
        <x:f>IF(H232="","",MAX(0,L232-H232))</x:f>
      </x:c>
      <x:c r="J232" t="str">
        <x:f>IF(H232="","UNKNOWN - inventory not entered",IF(H232&lt;=D232,"REORDER NOW",IF(H232&lt;=1.2*D232,"WATCH","OK")))</x:f>
        <x:v>UNKNOWN - inventory not entered</x:v>
      </x:c>
      <x:c r="K232" t="str">
        <x:v>Medium</x:v>
      </x:c>
      <x:c r="L232" t="n">
        <x:v>943</x:v>
      </x:c>
    </x:row>
    <x:row r="233">
      <x:c r="A233" t="n">
        <x:v>6</x:v>
      </x:c>
      <x:c r="B233" t="n">
        <x:v>12</x:v>
      </x:c>
      <x:c r="C233" t="str">
        <x:v>A</x:v>
      </x:c>
      <x:c r="D233" s="42" t="n">
        <x:v>653</x:v>
      </x:c>
      <x:c r="E233" s="44"/>
      <x:c r="F233" s="44"/>
      <x:c r="G233" s="44"/>
      <x:c r="H233" s="42" t="str">
        <x:f>IF(COUNT(E233:G233)=0,"",E233+IF(F233="",0,F233)-IF(G233="",0,G233))</x:f>
      </x:c>
      <x:c r="I233" s="42" t="str">
        <x:f>IF(H233="","",MAX(0,L233-H233))</x:f>
      </x:c>
      <x:c r="J233" t="str">
        <x:f>IF(H233="","UNKNOWN - inventory not entered",IF(H233&lt;=D233,"REORDER NOW",IF(H233&lt;=1.2*D233,"WATCH","OK")))</x:f>
        <x:v>UNKNOWN - inventory not entered</x:v>
      </x:c>
      <x:c r="K233" t="str">
        <x:v>Medium</x:v>
      </x:c>
      <x:c r="L233" t="n">
        <x:v>957</x:v>
      </x:c>
    </x:row>
    <x:row r="234">
      <x:c r="A234" t="n">
        <x:v>1</x:v>
      </x:c>
      <x:c r="B234" t="n">
        <x:v>31</x:v>
      </x:c>
      <x:c r="C234" t="str">
        <x:v>A</x:v>
      </x:c>
      <x:c r="D234" s="42" t="n">
        <x:v>640</x:v>
      </x:c>
      <x:c r="E234" s="44"/>
      <x:c r="F234" s="44"/>
      <x:c r="G234" s="44"/>
      <x:c r="H234" s="42" t="str">
        <x:f>IF(COUNT(E234:G234)=0,"",E234+IF(F234="",0,F234)-IF(G234="",0,G234))</x:f>
      </x:c>
      <x:c r="I234" s="42" t="str">
        <x:f>IF(H234="","",MAX(0,L234-H234))</x:f>
      </x:c>
      <x:c r="J234" t="str">
        <x:f>IF(H234="","UNKNOWN - inventory not entered",IF(H234&lt;=D234,"REORDER NOW",IF(H234&lt;=1.2*D234,"WATCH","OK")))</x:f>
        <x:v>UNKNOWN - inventory not entered</x:v>
      </x:c>
      <x:c r="K234" t="str">
        <x:v>Medium</x:v>
      </x:c>
      <x:c r="L234" t="n">
        <x:v>919</x:v>
      </x:c>
    </x:row>
    <x:row r="235">
      <x:c r="A235" t="n">
        <x:v>5</x:v>
      </x:c>
      <x:c r="B235" t="n">
        <x:v>11</x:v>
      </x:c>
      <x:c r="C235" t="str">
        <x:v>A</x:v>
      </x:c>
      <x:c r="D235" s="42" t="n">
        <x:v>653</x:v>
      </x:c>
      <x:c r="E235" s="44"/>
      <x:c r="F235" s="44"/>
      <x:c r="G235" s="44"/>
      <x:c r="H235" s="42" t="str">
        <x:f>IF(COUNT(E235:G235)=0,"",E235+IF(F235="",0,F235)-IF(G235="",0,G235))</x:f>
      </x:c>
      <x:c r="I235" s="42" t="str">
        <x:f>IF(H235="","",MAX(0,L235-H235))</x:f>
      </x:c>
      <x:c r="J235" t="str">
        <x:f>IF(H235="","UNKNOWN - inventory not entered",IF(H235&lt;=D235,"REORDER NOW",IF(H235&lt;=1.2*D235,"WATCH","OK")))</x:f>
        <x:v>UNKNOWN - inventory not entered</x:v>
      </x:c>
      <x:c r="K235" t="str">
        <x:v>Medium</x:v>
      </x:c>
      <x:c r="L235" t="n">
        <x:v>979</x:v>
      </x:c>
    </x:row>
    <x:row r="236">
      <x:c r="A236" t="n">
        <x:v>5</x:v>
      </x:c>
      <x:c r="B236" t="n">
        <x:v>29</x:v>
      </x:c>
      <x:c r="C236" t="str">
        <x:v>A</x:v>
      </x:c>
      <x:c r="D236" s="42" t="n">
        <x:v>623</x:v>
      </x:c>
      <x:c r="E236" s="44"/>
      <x:c r="F236" s="44"/>
      <x:c r="G236" s="44"/>
      <x:c r="H236" s="42" t="str">
        <x:f>IF(COUNT(E236:G236)=0,"",E236+IF(F236="",0,F236)-IF(G236="",0,G236))</x:f>
      </x:c>
      <x:c r="I236" s="42" t="str">
        <x:f>IF(H236="","",MAX(0,L236-H236))</x:f>
      </x:c>
      <x:c r="J236" t="str">
        <x:f>IF(H236="","UNKNOWN - inventory not entered",IF(H236&lt;=D236,"REORDER NOW",IF(H236&lt;=1.2*D236,"WATCH","OK")))</x:f>
        <x:v>UNKNOWN - inventory not entered</x:v>
      </x:c>
      <x:c r="K236" t="str">
        <x:v>Medium</x:v>
      </x:c>
      <x:c r="L236" t="n">
        <x:v>916</x:v>
      </x:c>
    </x:row>
    <x:row r="237">
      <x:c r="A237" t="n">
        <x:v>6</x:v>
      </x:c>
      <x:c r="B237" t="n">
        <x:v>11</x:v>
      </x:c>
      <x:c r="C237" t="str">
        <x:v>A</x:v>
      </x:c>
      <x:c r="D237" s="42" t="n">
        <x:v>614</x:v>
      </x:c>
      <x:c r="E237" s="44"/>
      <x:c r="F237" s="44"/>
      <x:c r="G237" s="44"/>
      <x:c r="H237" s="42" t="str">
        <x:f>IF(COUNT(E237:G237)=0,"",E237+IF(F237="",0,F237)-IF(G237="",0,G237))</x:f>
      </x:c>
      <x:c r="I237" s="42" t="str">
        <x:f>IF(H237="","",MAX(0,L237-H237))</x:f>
      </x:c>
      <x:c r="J237" t="str">
        <x:f>IF(H237="","UNKNOWN - inventory not entered",IF(H237&lt;=D237,"REORDER NOW",IF(H237&lt;=1.2*D237,"WATCH","OK")))</x:f>
        <x:v>UNKNOWN - inventory not entered</x:v>
      </x:c>
      <x:c r="K237" t="str">
        <x:v>Medium</x:v>
      </x:c>
      <x:c r="L237" t="n">
        <x:v>907</x:v>
      </x:c>
    </x:row>
    <x:row r="238">
      <x:c r="A238" t="n">
        <x:v>6</x:v>
      </x:c>
      <x:c r="B238" t="n">
        <x:v>33</x:v>
      </x:c>
      <x:c r="C238" t="str">
        <x:v>A</x:v>
      </x:c>
      <x:c r="D238" s="42" t="n">
        <x:v>653</x:v>
      </x:c>
      <x:c r="E238" s="44"/>
      <x:c r="F238" s="44"/>
      <x:c r="G238" s="44"/>
      <x:c r="H238" s="42" t="str">
        <x:f>IF(COUNT(E238:G238)=0,"",E238+IF(F238="",0,F238)-IF(G238="",0,G238))</x:f>
      </x:c>
      <x:c r="I238" s="42" t="str">
        <x:f>IF(H238="","",MAX(0,L238-H238))</x:f>
      </x:c>
      <x:c r="J238" t="str">
        <x:f>IF(H238="","UNKNOWN - inventory not entered",IF(H238&lt;=D238,"REORDER NOW",IF(H238&lt;=1.2*D238,"WATCH","OK")))</x:f>
        <x:v>UNKNOWN - inventory not entered</x:v>
      </x:c>
      <x:c r="K238" t="str">
        <x:v>Medium</x:v>
      </x:c>
      <x:c r="L238" t="n">
        <x:v>959</x:v>
      </x:c>
    </x:row>
    <x:row r="239">
      <x:c r="A239" t="n">
        <x:v>7</x:v>
      </x:c>
      <x:c r="B239" t="n">
        <x:v>36</x:v>
      </x:c>
      <x:c r="C239" t="str">
        <x:v>A</x:v>
      </x:c>
      <x:c r="D239" s="42" t="n">
        <x:v>602</x:v>
      </x:c>
      <x:c r="E239" s="44"/>
      <x:c r="F239" s="44"/>
      <x:c r="G239" s="44"/>
      <x:c r="H239" s="42" t="str">
        <x:f>IF(COUNT(E239:G239)=0,"",E239+IF(F239="",0,F239)-IF(G239="",0,G239))</x:f>
      </x:c>
      <x:c r="I239" s="42" t="str">
        <x:f>IF(H239="","",MAX(0,L239-H239))</x:f>
      </x:c>
      <x:c r="J239" t="str">
        <x:f>IF(H239="","UNKNOWN - inventory not entered",IF(H239&lt;=D239,"REORDER NOW",IF(H239&lt;=1.2*D239,"WATCH","OK")))</x:f>
        <x:v>UNKNOWN - inventory not entered</x:v>
      </x:c>
      <x:c r="K239" t="str">
        <x:v>Medium</x:v>
      </x:c>
      <x:c r="L239" t="n">
        <x:v>929</x:v>
      </x:c>
    </x:row>
    <x:row r="240">
      <x:c r="A240" t="n">
        <x:v>2</x:v>
      </x:c>
      <x:c r="B240" t="n">
        <x:v>30</x:v>
      </x:c>
      <x:c r="C240" t="str">
        <x:v>B</x:v>
      </x:c>
      <x:c r="D240" s="42" t="n">
        <x:v>644</x:v>
      </x:c>
      <x:c r="E240" s="44"/>
      <x:c r="F240" s="44"/>
      <x:c r="G240" s="44"/>
      <x:c r="H240" s="42" t="str">
        <x:f>IF(COUNT(E240:G240)=0,"",E240+IF(F240="",0,F240)-IF(G240="",0,G240))</x:f>
      </x:c>
      <x:c r="I240" s="42" t="str">
        <x:f>IF(H240="","",MAX(0,L240-H240))</x:f>
      </x:c>
      <x:c r="J240" t="str">
        <x:f>IF(H240="","UNKNOWN - inventory not entered",IF(H240&lt;=D240,"REORDER NOW",IF(H240&lt;=1.2*D240,"WATCH","OK")))</x:f>
        <x:v>UNKNOWN - inventory not entered</x:v>
      </x:c>
      <x:c r="K240" t="str">
        <x:v>Medium</x:v>
      </x:c>
      <x:c r="L240" t="n">
        <x:v>920</x:v>
      </x:c>
    </x:row>
    <x:row r="241">
      <x:c r="A241" t="n">
        <x:v>1</x:v>
      </x:c>
      <x:c r="B241" t="n">
        <x:v>7</x:v>
      </x:c>
      <x:c r="C241" t="str">
        <x:v>A</x:v>
      </x:c>
      <x:c r="D241" s="42" t="n">
        <x:v>612</x:v>
      </x:c>
      <x:c r="E241" s="44"/>
      <x:c r="F241" s="44"/>
      <x:c r="G241" s="44"/>
      <x:c r="H241" s="42" t="str">
        <x:f>IF(COUNT(E241:G241)=0,"",E241+IF(F241="",0,F241)-IF(G241="",0,G241))</x:f>
      </x:c>
      <x:c r="I241" s="42" t="str">
        <x:f>IF(H241="","",MAX(0,L241-H241))</x:f>
      </x:c>
      <x:c r="J241" t="str">
        <x:f>IF(H241="","UNKNOWN - inventory not entered",IF(H241&lt;=D241,"REORDER NOW",IF(H241&lt;=1.2*D241,"WATCH","OK")))</x:f>
        <x:v>UNKNOWN - inventory not entered</x:v>
      </x:c>
      <x:c r="K241" t="str">
        <x:v>Medium</x:v>
      </x:c>
      <x:c r="L241" t="n">
        <x:v>892</x:v>
      </x:c>
    </x:row>
    <x:row r="242">
      <x:c r="A242" t="n">
        <x:v>5</x:v>
      </x:c>
      <x:c r="B242" t="n">
        <x:v>12</x:v>
      </x:c>
      <x:c r="C242" t="str">
        <x:v>A</x:v>
      </x:c>
      <x:c r="D242" s="42" t="n">
        <x:v>629</x:v>
      </x:c>
      <x:c r="E242" s="44"/>
      <x:c r="F242" s="44"/>
      <x:c r="G242" s="44"/>
      <x:c r="H242" s="42" t="str">
        <x:f>IF(COUNT(E242:G242)=0,"",E242+IF(F242="",0,F242)-IF(G242="",0,G242))</x:f>
      </x:c>
      <x:c r="I242" s="42" t="str">
        <x:f>IF(H242="","",MAX(0,L242-H242))</x:f>
      </x:c>
      <x:c r="J242" t="str">
        <x:f>IF(H242="","UNKNOWN - inventory not entered",IF(H242&lt;=D242,"REORDER NOW",IF(H242&lt;=1.2*D242,"WATCH","OK")))</x:f>
        <x:v>UNKNOWN - inventory not entered</x:v>
      </x:c>
      <x:c r="K242" t="str">
        <x:v>Medium</x:v>
      </x:c>
      <x:c r="L242" t="n">
        <x:v>924</x:v>
      </x:c>
    </x:row>
    <x:row r="243">
      <x:c r="A243" t="n">
        <x:v>7</x:v>
      </x:c>
      <x:c r="B243" t="n">
        <x:v>10</x:v>
      </x:c>
      <x:c r="C243" t="str">
        <x:v>A</x:v>
      </x:c>
      <x:c r="D243" s="42" t="n">
        <x:v>561</x:v>
      </x:c>
      <x:c r="E243" s="44"/>
      <x:c r="F243" s="44"/>
      <x:c r="G243" s="44"/>
      <x:c r="H243" s="42" t="str">
        <x:f>IF(COUNT(E243:G243)=0,"",E243+IF(F243="",0,F243)-IF(G243="",0,G243))</x:f>
      </x:c>
      <x:c r="I243" s="42" t="str">
        <x:f>IF(H243="","",MAX(0,L243-H243))</x:f>
      </x:c>
      <x:c r="J243" t="str">
        <x:f>IF(H243="","UNKNOWN - inventory not entered",IF(H243&lt;=D243,"REORDER NOW",IF(H243&lt;=1.2*D243,"WATCH","OK")))</x:f>
        <x:v>UNKNOWN - inventory not entered</x:v>
      </x:c>
      <x:c r="K243" t="str">
        <x:v>Medium</x:v>
      </x:c>
      <x:c r="L243" t="n">
        <x:v>872</x:v>
      </x:c>
    </x:row>
    <x:row r="244">
      <x:c r="A244" t="n">
        <x:v>1</x:v>
      </x:c>
      <x:c r="B244" t="n">
        <x:v>14</x:v>
      </x:c>
      <x:c r="C244" t="str">
        <x:v>A</x:v>
      </x:c>
      <x:c r="D244" s="42" t="n">
        <x:v>600</x:v>
      </x:c>
      <x:c r="E244" s="44"/>
      <x:c r="F244" s="44"/>
      <x:c r="G244" s="44"/>
      <x:c r="H244" s="42" t="str">
        <x:f>IF(COUNT(E244:G244)=0,"",E244+IF(F244="",0,F244)-IF(G244="",0,G244))</x:f>
      </x:c>
      <x:c r="I244" s="42" t="str">
        <x:f>IF(H244="","",MAX(0,L244-H244))</x:f>
      </x:c>
      <x:c r="J244" t="str">
        <x:f>IF(H244="","UNKNOWN - inventory not entered",IF(H244&lt;=D244,"REORDER NOW",IF(H244&lt;=1.2*D244,"WATCH","OK")))</x:f>
        <x:v>UNKNOWN - inventory not entered</x:v>
      </x:c>
      <x:c r="K244" t="str">
        <x:v>Medium</x:v>
      </x:c>
      <x:c r="L244" t="n">
        <x:v>877</x:v>
      </x:c>
    </x:row>
    <x:row r="245">
      <x:c r="A245" t="n">
        <x:v>2</x:v>
      </x:c>
      <x:c r="B245" t="n">
        <x:v>21</x:v>
      </x:c>
      <x:c r="C245" t="str">
        <x:v>B</x:v>
      </x:c>
      <x:c r="D245" s="42" t="n">
        <x:v>612</x:v>
      </x:c>
      <x:c r="E245" s="44"/>
      <x:c r="F245" s="44"/>
      <x:c r="G245" s="44"/>
      <x:c r="H245" s="42" t="str">
        <x:f>IF(COUNT(E245:G245)=0,"",E245+IF(F245="",0,F245)-IF(G245="",0,G245))</x:f>
      </x:c>
      <x:c r="I245" s="42" t="str">
        <x:f>IF(H245="","",MAX(0,L245-H245))</x:f>
      </x:c>
      <x:c r="J245" t="str">
        <x:f>IF(H245="","UNKNOWN - inventory not entered",IF(H245&lt;=D245,"REORDER NOW",IF(H245&lt;=1.2*D245,"WATCH","OK")))</x:f>
        <x:v>UNKNOWN - inventory not entered</x:v>
      </x:c>
      <x:c r="K245" t="str">
        <x:v>Medium</x:v>
      </x:c>
      <x:c r="L245" t="n">
        <x:v>908</x:v>
      </x:c>
    </x:row>
    <x:row r="246">
      <x:c r="A246" t="n">
        <x:v>5</x:v>
      </x:c>
      <x:c r="B246" t="n">
        <x:v>35</x:v>
      </x:c>
      <x:c r="C246" t="str">
        <x:v>A</x:v>
      </x:c>
      <x:c r="D246" s="42" t="n">
        <x:v>595</x:v>
      </x:c>
      <x:c r="E246" s="44"/>
      <x:c r="F246" s="44"/>
      <x:c r="G246" s="44"/>
      <x:c r="H246" s="42" t="str">
        <x:f>IF(COUNT(E246:G246)=0,"",E246+IF(F246="",0,F246)-IF(G246="",0,G246))</x:f>
      </x:c>
      <x:c r="I246" s="42" t="str">
        <x:f>IF(H246="","",MAX(0,L246-H246))</x:f>
      </x:c>
      <x:c r="J246" t="str">
        <x:f>IF(H246="","UNKNOWN - inventory not entered",IF(H246&lt;=D246,"REORDER NOW",IF(H246&lt;=1.2*D246,"WATCH","OK")))</x:f>
        <x:v>UNKNOWN - inventory not entered</x:v>
      </x:c>
      <x:c r="K246" t="str">
        <x:v>Medium</x:v>
      </x:c>
      <x:c r="L246" t="n">
        <x:v>911</x:v>
      </x:c>
    </x:row>
    <x:row r="247">
      <x:c r="A247" t="n">
        <x:v>3</x:v>
      </x:c>
      <x:c r="B247" t="n">
        <x:v>39</x:v>
      </x:c>
      <x:c r="C247" t="str">
        <x:v>A</x:v>
      </x:c>
      <x:c r="D247" s="42" t="n">
        <x:v>624</x:v>
      </x:c>
      <x:c r="E247" s="44"/>
      <x:c r="F247" s="44"/>
      <x:c r="G247" s="44"/>
      <x:c r="H247" s="42" t="str">
        <x:f>IF(COUNT(E247:G247)=0,"",E247+IF(F247="",0,F247)-IF(G247="",0,G247))</x:f>
      </x:c>
      <x:c r="I247" s="42" t="str">
        <x:f>IF(H247="","",MAX(0,L247-H247))</x:f>
      </x:c>
      <x:c r="J247" t="str">
        <x:f>IF(H247="","UNKNOWN - inventory not entered",IF(H247&lt;=D247,"REORDER NOW",IF(H247&lt;=1.2*D247,"WATCH","OK")))</x:f>
        <x:v>UNKNOWN - inventory not entered</x:v>
      </x:c>
      <x:c r="K247" t="str">
        <x:v>Medium</x:v>
      </x:c>
      <x:c r="L247" t="n">
        <x:v>956</x:v>
      </x:c>
    </x:row>
    <x:row r="248">
      <x:c r="A248" t="n">
        <x:v>6</x:v>
      </x:c>
      <x:c r="B248" t="n">
        <x:v>35</x:v>
      </x:c>
      <x:c r="C248" t="str">
        <x:v>A</x:v>
      </x:c>
      <x:c r="D248" s="42" t="n">
        <x:v>640</x:v>
      </x:c>
      <x:c r="E248" s="44"/>
      <x:c r="F248" s="44"/>
      <x:c r="G248" s="44"/>
      <x:c r="H248" s="42" t="str">
        <x:f>IF(COUNT(E248:G248)=0,"",E248+IF(F248="",0,F248)-IF(G248="",0,G248))</x:f>
      </x:c>
      <x:c r="I248" s="42" t="str">
        <x:f>IF(H248="","",MAX(0,L248-H248))</x:f>
      </x:c>
      <x:c r="J248" t="str">
        <x:f>IF(H248="","UNKNOWN - inventory not entered",IF(H248&lt;=D248,"REORDER NOW",IF(H248&lt;=1.2*D248,"WATCH","OK")))</x:f>
        <x:v>UNKNOWN - inventory not entered</x:v>
      </x:c>
      <x:c r="K248" t="str">
        <x:v>Medium</x:v>
      </x:c>
      <x:c r="L248" t="n">
        <x:v>929</x:v>
      </x:c>
    </x:row>
    <x:row r="249">
      <x:c r="A249" t="n">
        <x:v>6</x:v>
      </x:c>
      <x:c r="B249" t="n">
        <x:v>24</x:v>
      </x:c>
      <x:c r="C249" t="str">
        <x:v>A</x:v>
      </x:c>
      <x:c r="D249" s="42" t="n">
        <x:v>621</x:v>
      </x:c>
      <x:c r="E249" s="44"/>
      <x:c r="F249" s="44"/>
      <x:c r="G249" s="44"/>
      <x:c r="H249" s="42" t="str">
        <x:f>IF(COUNT(E249:G249)=0,"",E249+IF(F249="",0,F249)-IF(G249="",0,G249))</x:f>
      </x:c>
      <x:c r="I249" s="42" t="str">
        <x:f>IF(H249="","",MAX(0,L249-H249))</x:f>
      </x:c>
      <x:c r="J249" t="str">
        <x:f>IF(H249="","UNKNOWN - inventory not entered",IF(H249&lt;=D249,"REORDER NOW",IF(H249&lt;=1.2*D249,"WATCH","OK")))</x:f>
        <x:v>UNKNOWN - inventory not entered</x:v>
      </x:c>
      <x:c r="K249" t="str">
        <x:v>Medium</x:v>
      </x:c>
      <x:c r="L249" t="n">
        <x:v>891</x:v>
      </x:c>
    </x:row>
    <x:row r="250">
      <x:c r="A250" t="n">
        <x:v>4</x:v>
      </x:c>
      <x:c r="B250" t="n">
        <x:v>26</x:v>
      </x:c>
      <x:c r="C250" t="str">
        <x:v>A</x:v>
      </x:c>
      <x:c r="D250" s="42" t="n">
        <x:v>622</x:v>
      </x:c>
      <x:c r="E250" s="44"/>
      <x:c r="F250" s="44"/>
      <x:c r="G250" s="44"/>
      <x:c r="H250" s="42" t="str">
        <x:f>IF(COUNT(E250:G250)=0,"",E250+IF(F250="",0,F250)-IF(G250="",0,G250))</x:f>
      </x:c>
      <x:c r="I250" s="42" t="str">
        <x:f>IF(H250="","",MAX(0,L250-H250))</x:f>
      </x:c>
      <x:c r="J250" t="str">
        <x:f>IF(H250="","UNKNOWN - inventory not entered",IF(H250&lt;=D250,"REORDER NOW",IF(H250&lt;=1.2*D250,"WATCH","OK")))</x:f>
        <x:v>UNKNOWN - inventory not entered</x:v>
      </x:c>
      <x:c r="K250" t="str">
        <x:v>Medium</x:v>
      </x:c>
      <x:c r="L250" t="n">
        <x:v>915</x:v>
      </x:c>
    </x:row>
    <x:row r="251">
      <x:c r="A251" t="n">
        <x:v>1</x:v>
      </x:c>
      <x:c r="B251" t="n">
        <x:v>2</x:v>
      </x:c>
      <x:c r="C251" t="str">
        <x:v>A</x:v>
      </x:c>
      <x:c r="D251" s="42" t="n">
        <x:v>625</x:v>
      </x:c>
      <x:c r="E251" s="44"/>
      <x:c r="F251" s="44"/>
      <x:c r="G251" s="44"/>
      <x:c r="H251" s="42" t="str">
        <x:f>IF(COUNT(E251:G251)=0,"",E251+IF(F251="",0,F251)-IF(G251="",0,G251))</x:f>
      </x:c>
      <x:c r="I251" s="42" t="str">
        <x:f>IF(H251="","",MAX(0,L251-H251))</x:f>
      </x:c>
      <x:c r="J251" t="str">
        <x:f>IF(H251="","UNKNOWN - inventory not entered",IF(H251&lt;=D251,"REORDER NOW",IF(H251&lt;=1.2*D251,"WATCH","OK")))</x:f>
        <x:v>UNKNOWN - inventory not entered</x:v>
      </x:c>
      <x:c r="K251" t="str">
        <x:v>Medium</x:v>
      </x:c>
      <x:c r="L251" t="n">
        <x:v>932</x:v>
      </x:c>
    </x:row>
    <x:row r="252">
      <x:c r="A252" t="n">
        <x:v>5</x:v>
      </x:c>
      <x:c r="B252" t="n">
        <x:v>50</x:v>
      </x:c>
      <x:c r="C252" t="str">
        <x:v>A</x:v>
      </x:c>
      <x:c r="D252" s="42" t="n">
        <x:v>611</x:v>
      </x:c>
      <x:c r="E252" s="44"/>
      <x:c r="F252" s="44"/>
      <x:c r="G252" s="44"/>
      <x:c r="H252" s="42" t="str">
        <x:f>IF(COUNT(E252:G252)=0,"",E252+IF(F252="",0,F252)-IF(G252="",0,G252))</x:f>
      </x:c>
      <x:c r="I252" s="42" t="str">
        <x:f>IF(H252="","",MAX(0,L252-H252))</x:f>
      </x:c>
      <x:c r="J252" t="str">
        <x:f>IF(H252="","UNKNOWN - inventory not entered",IF(H252&lt;=D252,"REORDER NOW",IF(H252&lt;=1.2*D252,"WATCH","OK")))</x:f>
        <x:v>UNKNOWN - inventory not entered</x:v>
      </x:c>
      <x:c r="K252" t="str">
        <x:v>Medium</x:v>
      </x:c>
      <x:c r="L252" t="n">
        <x:v>872</x:v>
      </x:c>
    </x:row>
    <x:row r="253">
      <x:c r="A253" t="n">
        <x:v>6</x:v>
      </x:c>
      <x:c r="B253" t="n">
        <x:v>50</x:v>
      </x:c>
      <x:c r="C253" t="str">
        <x:v>A</x:v>
      </x:c>
      <x:c r="D253" s="42" t="n">
        <x:v>656</x:v>
      </x:c>
      <x:c r="E253" s="44"/>
      <x:c r="F253" s="44"/>
      <x:c r="G253" s="44"/>
      <x:c r="H253" s="42" t="str">
        <x:f>IF(COUNT(E253:G253)=0,"",E253+IF(F253="",0,F253)-IF(G253="",0,G253))</x:f>
      </x:c>
      <x:c r="I253" s="42" t="str">
        <x:f>IF(H253="","",MAX(0,L253-H253))</x:f>
      </x:c>
      <x:c r="J253" t="str">
        <x:f>IF(H253="","UNKNOWN - inventory not entered",IF(H253&lt;=D253,"REORDER NOW",IF(H253&lt;=1.2*D253,"WATCH","OK")))</x:f>
        <x:v>UNKNOWN - inventory not entered</x:v>
      </x:c>
      <x:c r="K253" t="str">
        <x:v>Medium</x:v>
      </x:c>
      <x:c r="L253" t="n">
        <x:v>933</x:v>
      </x:c>
    </x:row>
    <x:row r="254">
      <x:c r="A254" t="n">
        <x:v>8</x:v>
      </x:c>
      <x:c r="B254" t="n">
        <x:v>21</x:v>
      </x:c>
      <x:c r="C254" t="str">
        <x:v>B</x:v>
      </x:c>
      <x:c r="D254" s="42" t="n">
        <x:v>603</x:v>
      </x:c>
      <x:c r="E254" s="44"/>
      <x:c r="F254" s="44"/>
      <x:c r="G254" s="44"/>
      <x:c r="H254" s="42" t="str">
        <x:f>IF(COUNT(E254:G254)=0,"",E254+IF(F254="",0,F254)-IF(G254="",0,G254))</x:f>
      </x:c>
      <x:c r="I254" s="42" t="str">
        <x:f>IF(H254="","",MAX(0,L254-H254))</x:f>
      </x:c>
      <x:c r="J254" t="str">
        <x:f>IF(H254="","UNKNOWN - inventory not entered",IF(H254&lt;=D254,"REORDER NOW",IF(H254&lt;=1.2*D254,"WATCH","OK")))</x:f>
        <x:v>UNKNOWN - inventory not entered</x:v>
      </x:c>
      <x:c r="K254" t="str">
        <x:v>Medium</x:v>
      </x:c>
      <x:c r="L254" t="n">
        <x:v>882</x:v>
      </x:c>
    </x:row>
    <x:row r="255">
      <x:c r="A255" t="n">
        <x:v>9</x:v>
      </x:c>
      <x:c r="B255" t="n">
        <x:v>20</x:v>
      </x:c>
      <x:c r="C255" t="str">
        <x:v>A</x:v>
      </x:c>
      <x:c r="D255" s="42" t="n">
        <x:v>596</x:v>
      </x:c>
      <x:c r="E255" s="44"/>
      <x:c r="F255" s="44"/>
      <x:c r="G255" s="44"/>
      <x:c r="H255" s="42" t="str">
        <x:f>IF(COUNT(E255:G255)=0,"",E255+IF(F255="",0,F255)-IF(G255="",0,G255))</x:f>
      </x:c>
      <x:c r="I255" s="42" t="str">
        <x:f>IF(H255="","",MAX(0,L255-H255))</x:f>
      </x:c>
      <x:c r="J255" t="str">
        <x:f>IF(H255="","UNKNOWN - inventory not entered",IF(H255&lt;=D255,"REORDER NOW",IF(H255&lt;=1.2*D255,"WATCH","OK")))</x:f>
        <x:v>UNKNOWN - inventory not entered</x:v>
      </x:c>
      <x:c r="K255" t="str">
        <x:v>Medium</x:v>
      </x:c>
      <x:c r="L255" t="n">
        <x:v>878</x:v>
      </x:c>
    </x:row>
    <x:row r="256">
      <x:c r="A256" t="n">
        <x:v>9</x:v>
      </x:c>
      <x:c r="B256" t="n">
        <x:v>26</x:v>
      </x:c>
      <x:c r="C256" t="str">
        <x:v>A</x:v>
      </x:c>
      <x:c r="D256" s="42" t="n">
        <x:v>604</x:v>
      </x:c>
      <x:c r="E256" s="44"/>
      <x:c r="F256" s="44"/>
      <x:c r="G256" s="44"/>
      <x:c r="H256" s="42" t="str">
        <x:f>IF(COUNT(E256:G256)=0,"",E256+IF(F256="",0,F256)-IF(G256="",0,G256))</x:f>
      </x:c>
      <x:c r="I256" s="42" t="str">
        <x:f>IF(H256="","",MAX(0,L256-H256))</x:f>
      </x:c>
      <x:c r="J256" t="str">
        <x:f>IF(H256="","UNKNOWN - inventory not entered",IF(H256&lt;=D256,"REORDER NOW",IF(H256&lt;=1.2*D256,"WATCH","OK")))</x:f>
        <x:v>UNKNOWN - inventory not entered</x:v>
      </x:c>
      <x:c r="K256" t="str">
        <x:v>Medium</x:v>
      </x:c>
      <x:c r="L256" t="n">
        <x:v>859</x:v>
      </x:c>
    </x:row>
    <x:row r="257">
      <x:c r="A257" t="n">
        <x:v>10</x:v>
      </x:c>
      <x:c r="B257" t="n">
        <x:v>39</x:v>
      </x:c>
      <x:c r="C257" t="str">
        <x:v>A</x:v>
      </x:c>
      <x:c r="D257" s="42" t="n">
        <x:v>610</x:v>
      </x:c>
      <x:c r="E257" s="44"/>
      <x:c r="F257" s="44"/>
      <x:c r="G257" s="44"/>
      <x:c r="H257" s="42" t="str">
        <x:f>IF(COUNT(E257:G257)=0,"",E257+IF(F257="",0,F257)-IF(G257="",0,G257))</x:f>
      </x:c>
      <x:c r="I257" s="42" t="str">
        <x:f>IF(H257="","",MAX(0,L257-H257))</x:f>
      </x:c>
      <x:c r="J257" t="str">
        <x:f>IF(H257="","UNKNOWN - inventory not entered",IF(H257&lt;=D257,"REORDER NOW",IF(H257&lt;=1.2*D257,"WATCH","OK")))</x:f>
        <x:v>UNKNOWN - inventory not entered</x:v>
      </x:c>
      <x:c r="K257" t="str">
        <x:v>Medium</x:v>
      </x:c>
      <x:c r="L257" t="n">
        <x:v>886</x:v>
      </x:c>
    </x:row>
    <x:row r="258">
      <x:c r="A258" t="n">
        <x:v>4</x:v>
      </x:c>
      <x:c r="B258" t="n">
        <x:v>20</x:v>
      </x:c>
      <x:c r="C258" t="str">
        <x:v>A</x:v>
      </x:c>
      <x:c r="D258" s="42" t="n">
        <x:v>626</x:v>
      </x:c>
      <x:c r="E258" s="44"/>
      <x:c r="F258" s="44"/>
      <x:c r="G258" s="44"/>
      <x:c r="H258" s="42" t="str">
        <x:f>IF(COUNT(E258:G258)=0,"",E258+IF(F258="",0,F258)-IF(G258="",0,G258))</x:f>
      </x:c>
      <x:c r="I258" s="42" t="str">
        <x:f>IF(H258="","",MAX(0,L258-H258))</x:f>
      </x:c>
      <x:c r="J258" t="str">
        <x:f>IF(H258="","UNKNOWN - inventory not entered",IF(H258&lt;=D258,"REORDER NOW",IF(H258&lt;=1.2*D258,"WATCH","OK")))</x:f>
        <x:v>UNKNOWN - inventory not entered</x:v>
      </x:c>
      <x:c r="K258" t="str">
        <x:v>Medium</x:v>
      </x:c>
      <x:c r="L258" t="n">
        <x:v>888</x:v>
      </x:c>
    </x:row>
    <x:row r="259">
      <x:c r="A259" t="n">
        <x:v>3</x:v>
      </x:c>
      <x:c r="B259" t="n">
        <x:v>32</x:v>
      </x:c>
      <x:c r="C259" t="str">
        <x:v>A</x:v>
      </x:c>
      <x:c r="D259" s="42" t="n">
        <x:v>619</x:v>
      </x:c>
      <x:c r="E259" s="44"/>
      <x:c r="F259" s="44"/>
      <x:c r="G259" s="44"/>
      <x:c r="H259" s="42" t="str">
        <x:f>IF(COUNT(E259:G259)=0,"",E259+IF(F259="",0,F259)-IF(G259="",0,G259))</x:f>
      </x:c>
      <x:c r="I259" s="42" t="str">
        <x:f>IF(H259="","",MAX(0,L259-H259))</x:f>
      </x:c>
      <x:c r="J259" t="str">
        <x:f>IF(H259="","UNKNOWN - inventory not entered",IF(H259&lt;=D259,"REORDER NOW",IF(H259&lt;=1.2*D259,"WATCH","OK")))</x:f>
        <x:v>UNKNOWN - inventory not entered</x:v>
      </x:c>
      <x:c r="K259" t="str">
        <x:v>Medium</x:v>
      </x:c>
      <x:c r="L259" t="n">
        <x:v>893</x:v>
      </x:c>
    </x:row>
    <x:row r="260">
      <x:c r="A260" t="n">
        <x:v>10</x:v>
      </x:c>
      <x:c r="B260" t="n">
        <x:v>32</x:v>
      </x:c>
      <x:c r="C260" t="str">
        <x:v>A</x:v>
      </x:c>
      <x:c r="D260" s="42" t="n">
        <x:v>566</x:v>
      </x:c>
      <x:c r="E260" s="44"/>
      <x:c r="F260" s="44"/>
      <x:c r="G260" s="44"/>
      <x:c r="H260" s="42" t="str">
        <x:f>IF(COUNT(E260:G260)=0,"",E260+IF(F260="",0,F260)-IF(G260="",0,G260))</x:f>
      </x:c>
      <x:c r="I260" s="42" t="str">
        <x:f>IF(H260="","",MAX(0,L260-H260))</x:f>
      </x:c>
      <x:c r="J260" t="str">
        <x:f>IF(H260="","UNKNOWN - inventory not entered",IF(H260&lt;=D260,"REORDER NOW",IF(H260&lt;=1.2*D260,"WATCH","OK")))</x:f>
        <x:v>UNKNOWN - inventory not entered</x:v>
      </x:c>
      <x:c r="K260" t="str">
        <x:v>Medium</x:v>
      </x:c>
      <x:c r="L260" t="n">
        <x:v>851</x:v>
      </x:c>
    </x:row>
    <x:row r="261">
      <x:c r="A261" t="n">
        <x:v>7</x:v>
      </x:c>
      <x:c r="B261" t="n">
        <x:v>12</x:v>
      </x:c>
      <x:c r="C261" t="str">
        <x:v>A</x:v>
      </x:c>
      <x:c r="D261" s="42" t="n">
        <x:v>585</x:v>
      </x:c>
      <x:c r="E261" s="44"/>
      <x:c r="F261" s="44"/>
      <x:c r="G261" s="44"/>
      <x:c r="H261" s="42" t="str">
        <x:f>IF(COUNT(E261:G261)=0,"",E261+IF(F261="",0,F261)-IF(G261="",0,G261))</x:f>
      </x:c>
      <x:c r="I261" s="42" t="str">
        <x:f>IF(H261="","",MAX(0,L261-H261))</x:f>
      </x:c>
      <x:c r="J261" t="str">
        <x:f>IF(H261="","UNKNOWN - inventory not entered",IF(H261&lt;=D261,"REORDER NOW",IF(H261&lt;=1.2*D261,"WATCH","OK")))</x:f>
        <x:v>UNKNOWN - inventory not entered</x:v>
      </x:c>
      <x:c r="K261" t="str">
        <x:v>Medium</x:v>
      </x:c>
      <x:c r="L261" t="n">
        <x:v>831</x:v>
      </x:c>
    </x:row>
    <x:row r="262">
      <x:c r="A262" t="n">
        <x:v>5</x:v>
      </x:c>
      <x:c r="B262" t="n">
        <x:v>24</x:v>
      </x:c>
      <x:c r="C262" t="str">
        <x:v>A</x:v>
      </x:c>
      <x:c r="D262" s="42" t="n">
        <x:v>590</x:v>
      </x:c>
      <x:c r="E262" s="44"/>
      <x:c r="F262" s="44"/>
      <x:c r="G262" s="44"/>
      <x:c r="H262" s="42" t="str">
        <x:f>IF(COUNT(E262:G262)=0,"",E262+IF(F262="",0,F262)-IF(G262="",0,G262))</x:f>
      </x:c>
      <x:c r="I262" s="42" t="str">
        <x:f>IF(H262="","",MAX(0,L262-H262))</x:f>
      </x:c>
      <x:c r="J262" t="str">
        <x:f>IF(H262="","UNKNOWN - inventory not entered",IF(H262&lt;=D262,"REORDER NOW",IF(H262&lt;=1.2*D262,"WATCH","OK")))</x:f>
        <x:v>UNKNOWN - inventory not entered</x:v>
      </x:c>
      <x:c r="K262" t="str">
        <x:v>Medium</x:v>
      </x:c>
      <x:c r="L262" t="n">
        <x:v>847</x:v>
      </x:c>
    </x:row>
    <x:row r="263">
      <x:c r="A263" t="n">
        <x:v>7</x:v>
      </x:c>
      <x:c r="B263" t="n">
        <x:v>33</x:v>
      </x:c>
      <x:c r="C263" t="str">
        <x:v>A</x:v>
      </x:c>
      <x:c r="D263" s="42" t="n">
        <x:v>618</x:v>
      </x:c>
      <x:c r="E263" s="44"/>
      <x:c r="F263" s="44"/>
      <x:c r="G263" s="44"/>
      <x:c r="H263" s="42" t="str">
        <x:f>IF(COUNT(E263:G263)=0,"",E263+IF(F263="",0,F263)-IF(G263="",0,G263))</x:f>
      </x:c>
      <x:c r="I263" s="42" t="str">
        <x:f>IF(H263="","",MAX(0,L263-H263))</x:f>
      </x:c>
      <x:c r="J263" t="str">
        <x:f>IF(H263="","UNKNOWN - inventory not entered",IF(H263&lt;=D263,"REORDER NOW",IF(H263&lt;=1.2*D263,"WATCH","OK")))</x:f>
        <x:v>UNKNOWN - inventory not entered</x:v>
      </x:c>
      <x:c r="K263" t="str">
        <x:v>Medium</x:v>
      </x:c>
      <x:c r="L263" t="n">
        <x:v>901</x:v>
      </x:c>
    </x:row>
    <x:row r="264">
      <x:c r="A264" t="n">
        <x:v>8</x:v>
      </x:c>
      <x:c r="B264" t="n">
        <x:v>19</x:v>
      </x:c>
      <x:c r="C264" t="str">
        <x:v>B</x:v>
      </x:c>
      <x:c r="D264" s="42" t="n">
        <x:v>585</x:v>
      </x:c>
      <x:c r="E264" s="44"/>
      <x:c r="F264" s="44"/>
      <x:c r="G264" s="44"/>
      <x:c r="H264" s="42" t="str">
        <x:f>IF(COUNT(E264:G264)=0,"",E264+IF(F264="",0,F264)-IF(G264="",0,G264))</x:f>
      </x:c>
      <x:c r="I264" s="42" t="str">
        <x:f>IF(H264="","",MAX(0,L264-H264))</x:f>
      </x:c>
      <x:c r="J264" t="str">
        <x:f>IF(H264="","UNKNOWN - inventory not entered",IF(H264&lt;=D264,"REORDER NOW",IF(H264&lt;=1.2*D264,"WATCH","OK")))</x:f>
        <x:v>UNKNOWN - inventory not entered</x:v>
      </x:c>
      <x:c r="K264" t="str">
        <x:v>Medium</x:v>
      </x:c>
      <x:c r="L264" t="n">
        <x:v>867</x:v>
      </x:c>
    </x:row>
    <x:row r="265">
      <x:c r="A265" t="n">
        <x:v>7</x:v>
      </x:c>
      <x:c r="B265" t="n">
        <x:v>29</x:v>
      </x:c>
      <x:c r="C265" t="str">
        <x:v>A</x:v>
      </x:c>
      <x:c r="D265" s="42" t="n">
        <x:v>616</x:v>
      </x:c>
      <x:c r="E265" s="44"/>
      <x:c r="F265" s="44"/>
      <x:c r="G265" s="44"/>
      <x:c r="H265" s="42" t="str">
        <x:f>IF(COUNT(E265:G265)=0,"",E265+IF(F265="",0,F265)-IF(G265="",0,G265))</x:f>
      </x:c>
      <x:c r="I265" s="42" t="str">
        <x:f>IF(H265="","",MAX(0,L265-H265))</x:f>
      </x:c>
      <x:c r="J265" t="str">
        <x:f>IF(H265="","UNKNOWN - inventory not entered",IF(H265&lt;=D265,"REORDER NOW",IF(H265&lt;=1.2*D265,"WATCH","OK")))</x:f>
        <x:v>UNKNOWN - inventory not entered</x:v>
      </x:c>
      <x:c r="K265" t="str">
        <x:v>Medium</x:v>
      </x:c>
      <x:c r="L265" t="n">
        <x:v>887</x:v>
      </x:c>
    </x:row>
    <x:row r="266">
      <x:c r="A266" t="n">
        <x:v>2</x:v>
      </x:c>
      <x:c r="B266" t="n">
        <x:v>3</x:v>
      </x:c>
      <x:c r="C266" t="str">
        <x:v>B</x:v>
      </x:c>
      <x:c r="D266" s="42" t="n">
        <x:v>567</x:v>
      </x:c>
      <x:c r="E266" s="44"/>
      <x:c r="F266" s="44"/>
      <x:c r="G266" s="44"/>
      <x:c r="H266" s="42" t="str">
        <x:f>IF(COUNT(E266:G266)=0,"",E266+IF(F266="",0,F266)-IF(G266="",0,G266))</x:f>
      </x:c>
      <x:c r="I266" s="42" t="str">
        <x:f>IF(H266="","",MAX(0,L266-H266))</x:f>
      </x:c>
      <x:c r="J266" t="str">
        <x:f>IF(H266="","UNKNOWN - inventory not entered",IF(H266&lt;=D266,"REORDER NOW",IF(H266&lt;=1.2*D266,"WATCH","OK")))</x:f>
        <x:v>UNKNOWN - inventory not entered</x:v>
      </x:c>
      <x:c r="K266" t="str">
        <x:v>Medium</x:v>
      </x:c>
      <x:c r="L266" t="n">
        <x:v>838</x:v>
      </x:c>
    </x:row>
    <x:row r="267">
      <x:c r="A267" t="n">
        <x:v>2</x:v>
      </x:c>
      <x:c r="B267" t="n">
        <x:v>42</x:v>
      </x:c>
      <x:c r="C267" t="str">
        <x:v>B</x:v>
      </x:c>
      <x:c r="D267" s="42" t="n">
        <x:v>592</x:v>
      </x:c>
      <x:c r="E267" s="44"/>
      <x:c r="F267" s="44"/>
      <x:c r="G267" s="44"/>
      <x:c r="H267" s="42" t="str">
        <x:f>IF(COUNT(E267:G267)=0,"",E267+IF(F267="",0,F267)-IF(G267="",0,G267))</x:f>
      </x:c>
      <x:c r="I267" s="42" t="str">
        <x:f>IF(H267="","",MAX(0,L267-H267))</x:f>
      </x:c>
      <x:c r="J267" t="str">
        <x:f>IF(H267="","UNKNOWN - inventory not entered",IF(H267&lt;=D267,"REORDER NOW",IF(H267&lt;=1.2*D267,"WATCH","OK")))</x:f>
        <x:v>UNKNOWN - inventory not entered</x:v>
      </x:c>
      <x:c r="K267" t="str">
        <x:v>Medium</x:v>
      </x:c>
      <x:c r="L267" t="n">
        <x:v>847</x:v>
      </x:c>
    </x:row>
    <x:row r="268">
      <x:c r="A268" t="n">
        <x:v>8</x:v>
      </x:c>
      <x:c r="B268" t="n">
        <x:v>30</x:v>
      </x:c>
      <x:c r="C268" t="str">
        <x:v>B</x:v>
      </x:c>
      <x:c r="D268" s="42" t="n">
        <x:v>570</x:v>
      </x:c>
      <x:c r="E268" s="44"/>
      <x:c r="F268" s="44"/>
      <x:c r="G268" s="44"/>
      <x:c r="H268" s="42" t="str">
        <x:f>IF(COUNT(E268:G268)=0,"",E268+IF(F268="",0,F268)-IF(G268="",0,G268))</x:f>
      </x:c>
      <x:c r="I268" s="42" t="str">
        <x:f>IF(H268="","",MAX(0,L268-H268))</x:f>
      </x:c>
      <x:c r="J268" t="str">
        <x:f>IF(H268="","UNKNOWN - inventory not entered",IF(H268&lt;=D268,"REORDER NOW",IF(H268&lt;=1.2*D268,"WATCH","OK")))</x:f>
        <x:v>UNKNOWN - inventory not entered</x:v>
      </x:c>
      <x:c r="K268" t="str">
        <x:v>Medium</x:v>
      </x:c>
      <x:c r="L268" t="n">
        <x:v>828</x:v>
      </x:c>
    </x:row>
    <x:row r="269">
      <x:c r="A269" t="n">
        <x:v>1</x:v>
      </x:c>
      <x:c r="B269" t="n">
        <x:v>48</x:v>
      </x:c>
      <x:c r="C269" t="str">
        <x:v>A</x:v>
      </x:c>
      <x:c r="D269" s="42" t="n">
        <x:v>564</x:v>
      </x:c>
      <x:c r="E269" s="44"/>
      <x:c r="F269" s="44"/>
      <x:c r="G269" s="44"/>
      <x:c r="H269" s="42" t="str">
        <x:f>IF(COUNT(E269:G269)=0,"",E269+IF(F269="",0,F269)-IF(G269="",0,G269))</x:f>
      </x:c>
      <x:c r="I269" s="42" t="str">
        <x:f>IF(H269="","",MAX(0,L269-H269))</x:f>
      </x:c>
      <x:c r="J269" t="str">
        <x:f>IF(H269="","UNKNOWN - inventory not entered",IF(H269&lt;=D269,"REORDER NOW",IF(H269&lt;=1.2*D269,"WATCH","OK")))</x:f>
        <x:v>UNKNOWN - inventory not entered</x:v>
      </x:c>
      <x:c r="K269" t="str">
        <x:v>Medium</x:v>
      </x:c>
      <x:c r="L269" t="n">
        <x:v>842</x:v>
      </x:c>
    </x:row>
    <x:row r="270">
      <x:c r="A270" t="n">
        <x:v>9</x:v>
      </x:c>
      <x:c r="B270" t="n">
        <x:v>39</x:v>
      </x:c>
      <x:c r="C270" t="str">
        <x:v>A</x:v>
      </x:c>
      <x:c r="D270" s="42" t="n">
        <x:v>560</x:v>
      </x:c>
      <x:c r="E270" s="44"/>
      <x:c r="F270" s="44"/>
      <x:c r="G270" s="44"/>
      <x:c r="H270" s="42" t="str">
        <x:f>IF(COUNT(E270:G270)=0,"",E270+IF(F270="",0,F270)-IF(G270="",0,G270))</x:f>
      </x:c>
      <x:c r="I270" s="42" t="str">
        <x:f>IF(H270="","",MAX(0,L270-H270))</x:f>
      </x:c>
      <x:c r="J270" t="str">
        <x:f>IF(H270="","UNKNOWN - inventory not entered",IF(H270&lt;=D270,"REORDER NOW",IF(H270&lt;=1.2*D270,"WATCH","OK")))</x:f>
        <x:v>UNKNOWN - inventory not entered</x:v>
      </x:c>
      <x:c r="K270" t="str">
        <x:v>Medium</x:v>
      </x:c>
      <x:c r="L270" t="n">
        <x:v>809</x:v>
      </x:c>
    </x:row>
    <x:row r="271">
      <x:c r="A271" t="n">
        <x:v>1</x:v>
      </x:c>
      <x:c r="B271" t="n">
        <x:v>9</x:v>
      </x:c>
      <x:c r="C271" t="str">
        <x:v>A</x:v>
      </x:c>
      <x:c r="D271" s="42" t="n">
        <x:v>537</x:v>
      </x:c>
      <x:c r="E271" s="44"/>
      <x:c r="F271" s="44"/>
      <x:c r="G271" s="44"/>
      <x:c r="H271" s="42" t="str">
        <x:f>IF(COUNT(E271:G271)=0,"",E271+IF(F271="",0,F271)-IF(G271="",0,G271))</x:f>
      </x:c>
      <x:c r="I271" s="42" t="str">
        <x:f>IF(H271="","",MAX(0,L271-H271))</x:f>
      </x:c>
      <x:c r="J271" t="str">
        <x:f>IF(H271="","UNKNOWN - inventory not entered",IF(H271&lt;=D271,"REORDER NOW",IF(H271&lt;=1.2*D271,"WATCH","OK")))</x:f>
        <x:v>UNKNOWN - inventory not entered</x:v>
      </x:c>
      <x:c r="K271" t="str">
        <x:v>Medium</x:v>
      </x:c>
      <x:c r="L271" t="n">
        <x:v>815</x:v>
      </x:c>
    </x:row>
    <x:row r="272">
      <x:c r="A272" t="n">
        <x:v>7</x:v>
      </x:c>
      <x:c r="B272" t="n">
        <x:v>11</x:v>
      </x:c>
      <x:c r="C272" t="str">
        <x:v>A</x:v>
      </x:c>
      <x:c r="D272" s="42" t="n">
        <x:v>538</x:v>
      </x:c>
      <x:c r="E272" s="44"/>
      <x:c r="F272" s="44"/>
      <x:c r="G272" s="44"/>
      <x:c r="H272" s="42" t="str">
        <x:f>IF(COUNT(E272:G272)=0,"",E272+IF(F272="",0,F272)-IF(G272="",0,G272))</x:f>
      </x:c>
      <x:c r="I272" s="42" t="str">
        <x:f>IF(H272="","",MAX(0,L272-H272))</x:f>
      </x:c>
      <x:c r="J272" t="str">
        <x:f>IF(H272="","UNKNOWN - inventory not entered",IF(H272&lt;=D272,"REORDER NOW",IF(H272&lt;=1.2*D272,"WATCH","OK")))</x:f>
        <x:v>UNKNOWN - inventory not entered</x:v>
      </x:c>
      <x:c r="K272" t="str">
        <x:v>Medium</x:v>
      </x:c>
      <x:c r="L272" t="n">
        <x:v>799</x:v>
      </x:c>
    </x:row>
    <x:row r="273">
      <x:c r="A273" t="n">
        <x:v>4</x:v>
      </x:c>
      <x:c r="B273" t="n">
        <x:v>39</x:v>
      </x:c>
      <x:c r="C273" t="str">
        <x:v>A</x:v>
      </x:c>
      <x:c r="D273" s="42" t="n">
        <x:v>584</x:v>
      </x:c>
      <x:c r="E273" s="44"/>
      <x:c r="F273" s="44"/>
      <x:c r="G273" s="44"/>
      <x:c r="H273" s="42" t="str">
        <x:f>IF(COUNT(E273:G273)=0,"",E273+IF(F273="",0,F273)-IF(G273="",0,G273))</x:f>
      </x:c>
      <x:c r="I273" s="42" t="str">
        <x:f>IF(H273="","",MAX(0,L273-H273))</x:f>
      </x:c>
      <x:c r="J273" t="str">
        <x:f>IF(H273="","UNKNOWN - inventory not entered",IF(H273&lt;=D273,"REORDER NOW",IF(H273&lt;=1.2*D273,"WATCH","OK")))</x:f>
        <x:v>UNKNOWN - inventory not entered</x:v>
      </x:c>
      <x:c r="K273" t="str">
        <x:v>Medium</x:v>
      </x:c>
      <x:c r="L273" t="n">
        <x:v>860</x:v>
      </x:c>
    </x:row>
    <x:row r="274">
      <x:c r="A274" t="n">
        <x:v>7</x:v>
      </x:c>
      <x:c r="B274" t="n">
        <x:v>35</x:v>
      </x:c>
      <x:c r="C274" t="str">
        <x:v>A</x:v>
      </x:c>
      <x:c r="D274" s="42" t="n">
        <x:v>535</x:v>
      </x:c>
      <x:c r="E274" s="44"/>
      <x:c r="F274" s="44"/>
      <x:c r="G274" s="44"/>
      <x:c r="H274" s="42" t="str">
        <x:f>IF(COUNT(E274:G274)=0,"",E274+IF(F274="",0,F274)-IF(G274="",0,G274))</x:f>
      </x:c>
      <x:c r="I274" s="42" t="str">
        <x:f>IF(H274="","",MAX(0,L274-H274))</x:f>
      </x:c>
      <x:c r="J274" t="str">
        <x:f>IF(H274="","UNKNOWN - inventory not entered",IF(H274&lt;=D274,"REORDER NOW",IF(H274&lt;=1.2*D274,"WATCH","OK")))</x:f>
        <x:v>UNKNOWN - inventory not entered</x:v>
      </x:c>
      <x:c r="K274" t="str">
        <x:v>Medium</x:v>
      </x:c>
      <x:c r="L274" t="n">
        <x:v>790</x:v>
      </x:c>
    </x:row>
    <x:row r="275">
      <x:c r="A275" t="n">
        <x:v>9</x:v>
      </x:c>
      <x:c r="B275" t="n">
        <x:v>32</x:v>
      </x:c>
      <x:c r="C275" t="str">
        <x:v>A</x:v>
      </x:c>
      <x:c r="D275" s="42" t="n">
        <x:v>561</x:v>
      </x:c>
      <x:c r="E275" s="44"/>
      <x:c r="F275" s="44"/>
      <x:c r="G275" s="44"/>
      <x:c r="H275" s="42" t="str">
        <x:f>IF(COUNT(E275:G275)=0,"",E275+IF(F275="",0,F275)-IF(G275="",0,G275))</x:f>
      </x:c>
      <x:c r="I275" s="42" t="str">
        <x:f>IF(H275="","",MAX(0,L275-H275))</x:f>
      </x:c>
      <x:c r="J275" t="str">
        <x:f>IF(H275="","UNKNOWN - inventory not entered",IF(H275&lt;=D275,"REORDER NOW",IF(H275&lt;=1.2*D275,"WATCH","OK")))</x:f>
        <x:v>UNKNOWN - inventory not entered</x:v>
      </x:c>
      <x:c r="K275" t="str">
        <x:v>Medium</x:v>
      </x:c>
      <x:c r="L275" t="n">
        <x:v>836</x:v>
      </x:c>
    </x:row>
    <x:row r="276">
      <x:c r="A276" t="n">
        <x:v>10</x:v>
      </x:c>
      <x:c r="B276" t="n">
        <x:v>21</x:v>
      </x:c>
      <x:c r="C276" t="str">
        <x:v>B</x:v>
      </x:c>
      <x:c r="D276" s="42" t="n">
        <x:v>536</x:v>
      </x:c>
      <x:c r="E276" s="44"/>
      <x:c r="F276" s="44"/>
      <x:c r="G276" s="44"/>
      <x:c r="H276" s="42" t="str">
        <x:f>IF(COUNT(E276:G276)=0,"",E276+IF(F276="",0,F276)-IF(G276="",0,G276))</x:f>
      </x:c>
      <x:c r="I276" s="42" t="str">
        <x:f>IF(H276="","",MAX(0,L276-H276))</x:f>
      </x:c>
      <x:c r="J276" t="str">
        <x:f>IF(H276="","UNKNOWN - inventory not entered",IF(H276&lt;=D276,"REORDER NOW",IF(H276&lt;=1.2*D276,"WATCH","OK")))</x:f>
        <x:v>UNKNOWN - inventory not entered</x:v>
      </x:c>
      <x:c r="K276" t="str">
        <x:v>Medium</x:v>
      </x:c>
      <x:c r="L276" t="n">
        <x:v>783</x:v>
      </x:c>
    </x:row>
    <x:row r="277">
      <x:c r="A277" t="n">
        <x:v>10</x:v>
      </x:c>
      <x:c r="B277" t="n">
        <x:v>30</x:v>
      </x:c>
      <x:c r="C277" t="str">
        <x:v>B</x:v>
      </x:c>
      <x:c r="D277" s="42" t="n">
        <x:v>564</x:v>
      </x:c>
      <x:c r="E277" s="44"/>
      <x:c r="F277" s="44"/>
      <x:c r="G277" s="44"/>
      <x:c r="H277" s="42" t="str">
        <x:f>IF(COUNT(E277:G277)=0,"",E277+IF(F277="",0,F277)-IF(G277="",0,G277))</x:f>
      </x:c>
      <x:c r="I277" s="42" t="str">
        <x:f>IF(H277="","",MAX(0,L277-H277))</x:f>
      </x:c>
      <x:c r="J277" t="str">
        <x:f>IF(H277="","UNKNOWN - inventory not entered",IF(H277&lt;=D277,"REORDER NOW",IF(H277&lt;=1.2*D277,"WATCH","OK")))</x:f>
        <x:v>UNKNOWN - inventory not entered</x:v>
      </x:c>
      <x:c r="K277" t="str">
        <x:v>Medium</x:v>
      </x:c>
      <x:c r="L277" t="n">
        <x:v>803</x:v>
      </x:c>
    </x:row>
    <x:row r="278">
      <x:c r="A278" t="n">
        <x:v>3</x:v>
      </x:c>
      <x:c r="B278" t="n">
        <x:v>19</x:v>
      </x:c>
      <x:c r="C278" t="str">
        <x:v>B</x:v>
      </x:c>
      <x:c r="D278" s="42" t="n">
        <x:v>549</x:v>
      </x:c>
      <x:c r="E278" s="44"/>
      <x:c r="F278" s="44"/>
      <x:c r="G278" s="44"/>
      <x:c r="H278" s="42" t="str">
        <x:f>IF(COUNT(E278:G278)=0,"",E278+IF(F278="",0,F278)-IF(G278="",0,G278))</x:f>
      </x:c>
      <x:c r="I278" s="42" t="str">
        <x:f>IF(H278="","",MAX(0,L278-H278))</x:f>
      </x:c>
      <x:c r="J278" t="str">
        <x:f>IF(H278="","UNKNOWN - inventory not entered",IF(H278&lt;=D278,"REORDER NOW",IF(H278&lt;=1.2*D278,"WATCH","OK")))</x:f>
        <x:v>UNKNOWN - inventory not entered</x:v>
      </x:c>
      <x:c r="K278" t="str">
        <x:v>Medium</x:v>
      </x:c>
      <x:c r="L278" t="n">
        <x:v>795</x:v>
      </x:c>
    </x:row>
    <x:row r="279">
      <x:c r="A279" t="n">
        <x:v>3</x:v>
      </x:c>
      <x:c r="B279" t="n">
        <x:v>21</x:v>
      </x:c>
      <x:c r="C279" t="str">
        <x:v>B</x:v>
      </x:c>
      <x:c r="D279" s="42" t="n">
        <x:v>578</x:v>
      </x:c>
      <x:c r="E279" s="44"/>
      <x:c r="F279" s="44"/>
      <x:c r="G279" s="44"/>
      <x:c r="H279" s="42" t="str">
        <x:f>IF(COUNT(E279:G279)=0,"",E279+IF(F279="",0,F279)-IF(G279="",0,G279))</x:f>
      </x:c>
      <x:c r="I279" s="42" t="str">
        <x:f>IF(H279="","",MAX(0,L279-H279))</x:f>
      </x:c>
      <x:c r="J279" t="str">
        <x:f>IF(H279="","UNKNOWN - inventory not entered",IF(H279&lt;=D279,"REORDER NOW",IF(H279&lt;=1.2*D279,"WATCH","OK")))</x:f>
        <x:v>UNKNOWN - inventory not entered</x:v>
      </x:c>
      <x:c r="K279" t="str">
        <x:v>Medium</x:v>
      </x:c>
      <x:c r="L279" t="n">
        <x:v>855</x:v>
      </x:c>
    </x:row>
    <x:row r="280">
      <x:c r="A280" t="n">
        <x:v>6</x:v>
      </x:c>
      <x:c r="B280" t="n">
        <x:v>31</x:v>
      </x:c>
      <x:c r="C280" t="str">
        <x:v>A</x:v>
      </x:c>
      <x:c r="D280" s="42" t="n">
        <x:v>531</x:v>
      </x:c>
      <x:c r="E280" s="44"/>
      <x:c r="F280" s="44"/>
      <x:c r="G280" s="44"/>
      <x:c r="H280" s="42" t="str">
        <x:f>IF(COUNT(E280:G280)=0,"",E280+IF(F280="",0,F280)-IF(G280="",0,G280))</x:f>
      </x:c>
      <x:c r="I280" s="42" t="str">
        <x:f>IF(H280="","",MAX(0,L280-H280))</x:f>
      </x:c>
      <x:c r="J280" t="str">
        <x:f>IF(H280="","UNKNOWN - inventory not entered",IF(H280&lt;=D280,"REORDER NOW",IF(H280&lt;=1.2*D280,"WATCH","OK")))</x:f>
        <x:v>UNKNOWN - inventory not entered</x:v>
      </x:c>
      <x:c r="K280" t="str">
        <x:v>Medium</x:v>
      </x:c>
      <x:c r="L280" t="n">
        <x:v>818</x:v>
      </x:c>
    </x:row>
    <x:row r="281">
      <x:c r="A281" t="n">
        <x:v>7</x:v>
      </x:c>
      <x:c r="B281" t="n">
        <x:v>50</x:v>
      </x:c>
      <x:c r="C281" t="str">
        <x:v>A</x:v>
      </x:c>
      <x:c r="D281" s="42" t="n">
        <x:v>546</x:v>
      </x:c>
      <x:c r="E281" s="44"/>
      <x:c r="F281" s="44"/>
      <x:c r="G281" s="44"/>
      <x:c r="H281" s="42" t="str">
        <x:f>IF(COUNT(E281:G281)=0,"",E281+IF(F281="",0,F281)-IF(G281="",0,G281))</x:f>
      </x:c>
      <x:c r="I281" s="42" t="str">
        <x:f>IF(H281="","",MAX(0,L281-H281))</x:f>
      </x:c>
      <x:c r="J281" t="str">
        <x:f>IF(H281="","UNKNOWN - inventory not entered",IF(H281&lt;=D281,"REORDER NOW",IF(H281&lt;=1.2*D281,"WATCH","OK")))</x:f>
        <x:v>UNKNOWN - inventory not entered</x:v>
      </x:c>
      <x:c r="K281" t="str">
        <x:v>Medium</x:v>
      </x:c>
      <x:c r="L281" t="n">
        <x:v>793</x:v>
      </x:c>
    </x:row>
    <x:row r="282">
      <x:c r="A282" t="n">
        <x:v>5</x:v>
      </x:c>
      <x:c r="B282" t="n">
        <x:v>31</x:v>
      </x:c>
      <x:c r="C282" t="str">
        <x:v>A</x:v>
      </x:c>
      <x:c r="D282" s="42" t="n">
        <x:v>554</x:v>
      </x:c>
      <x:c r="E282" s="44"/>
      <x:c r="F282" s="44"/>
      <x:c r="G282" s="44"/>
      <x:c r="H282" s="42" t="str">
        <x:f>IF(COUNT(E282:G282)=0,"",E282+IF(F282="",0,F282)-IF(G282="",0,G282))</x:f>
      </x:c>
      <x:c r="I282" s="42" t="str">
        <x:f>IF(H282="","",MAX(0,L282-H282))</x:f>
      </x:c>
      <x:c r="J282" t="str">
        <x:f>IF(H282="","UNKNOWN - inventory not entered",IF(H282&lt;=D282,"REORDER NOW",IF(H282&lt;=1.2*D282,"WATCH","OK")))</x:f>
        <x:v>UNKNOWN - inventory not entered</x:v>
      </x:c>
      <x:c r="K282" t="str">
        <x:v>Medium</x:v>
      </x:c>
      <x:c r="L282" t="n">
        <x:v>820</x:v>
      </x:c>
    </x:row>
    <x:row r="283">
      <x:c r="A283" t="n">
        <x:v>4</x:v>
      </x:c>
      <x:c r="B283" t="n">
        <x:v>32</x:v>
      </x:c>
      <x:c r="C283" t="str">
        <x:v>A</x:v>
      </x:c>
      <x:c r="D283" s="42" t="n">
        <x:v>574</x:v>
      </x:c>
      <x:c r="E283" s="44"/>
      <x:c r="F283" s="44"/>
      <x:c r="G283" s="44"/>
      <x:c r="H283" s="42" t="str">
        <x:f>IF(COUNT(E283:G283)=0,"",E283+IF(F283="",0,F283)-IF(G283="",0,G283))</x:f>
      </x:c>
      <x:c r="I283" s="42" t="str">
        <x:f>IF(H283="","",MAX(0,L283-H283))</x:f>
      </x:c>
      <x:c r="J283" t="str">
        <x:f>IF(H283="","UNKNOWN - inventory not entered",IF(H283&lt;=D283,"REORDER NOW",IF(H283&lt;=1.2*D283,"WATCH","OK")))</x:f>
        <x:v>UNKNOWN - inventory not entered</x:v>
      </x:c>
      <x:c r="K283" t="str">
        <x:v>Medium</x:v>
      </x:c>
      <x:c r="L283" t="n">
        <x:v>809</x:v>
      </x:c>
    </x:row>
    <x:row r="284">
      <x:c r="A284" t="n">
        <x:v>1</x:v>
      </x:c>
      <x:c r="B284" t="n">
        <x:v>43</x:v>
      </x:c>
      <x:c r="C284" t="str">
        <x:v>A</x:v>
      </x:c>
      <x:c r="D284" s="42" t="n">
        <x:v>585</x:v>
      </x:c>
      <x:c r="E284" s="44"/>
      <x:c r="F284" s="44"/>
      <x:c r="G284" s="44"/>
      <x:c r="H284" s="42" t="str">
        <x:f>IF(COUNT(E284:G284)=0,"",E284+IF(F284="",0,F284)-IF(G284="",0,G284))</x:f>
      </x:c>
      <x:c r="I284" s="42" t="str">
        <x:f>IF(H284="","",MAX(0,L284-H284))</x:f>
      </x:c>
      <x:c r="J284" t="str">
        <x:f>IF(H284="","UNKNOWN - inventory not entered",IF(H284&lt;=D284,"REORDER NOW",IF(H284&lt;=1.2*D284,"WATCH","OK")))</x:f>
        <x:v>UNKNOWN - inventory not entered</x:v>
      </x:c>
      <x:c r="K284" t="str">
        <x:v>Medium</x:v>
      </x:c>
      <x:c r="L284" t="n">
        <x:v>820</x:v>
      </x:c>
    </x:row>
    <x:row r="285">
      <x:c r="A285" t="n">
        <x:v>7</x:v>
      </x:c>
      <x:c r="B285" t="n">
        <x:v>24</x:v>
      </x:c>
      <x:c r="C285" t="str">
        <x:v>A</x:v>
      </x:c>
      <x:c r="D285" s="42" t="n">
        <x:v>561</x:v>
      </x:c>
      <x:c r="E285" s="44"/>
      <x:c r="F285" s="44"/>
      <x:c r="G285" s="44"/>
      <x:c r="H285" s="42" t="str">
        <x:f>IF(COUNT(E285:G285)=0,"",E285+IF(F285="",0,F285)-IF(G285="",0,G285))</x:f>
      </x:c>
      <x:c r="I285" s="42" t="str">
        <x:f>IF(H285="","",MAX(0,L285-H285))</x:f>
      </x:c>
      <x:c r="J285" t="str">
        <x:f>IF(H285="","UNKNOWN - inventory not entered",IF(H285&lt;=D285,"REORDER NOW",IF(H285&lt;=1.2*D285,"WATCH","OK")))</x:f>
        <x:v>UNKNOWN - inventory not entered</x:v>
      </x:c>
      <x:c r="K285" t="str">
        <x:v>Medium</x:v>
      </x:c>
      <x:c r="L285" t="n">
        <x:v>833</x:v>
      </x:c>
    </x:row>
    <x:row r="286">
      <x:c r="A286" t="n">
        <x:v>3</x:v>
      </x:c>
      <x:c r="B286" t="n">
        <x:v>30</x:v>
      </x:c>
      <x:c r="C286" t="str">
        <x:v>B</x:v>
      </x:c>
      <x:c r="D286" s="42" t="n">
        <x:v>575</x:v>
      </x:c>
      <x:c r="E286" s="44"/>
      <x:c r="F286" s="44"/>
      <x:c r="G286" s="44"/>
      <x:c r="H286" s="42" t="str">
        <x:f>IF(COUNT(E286:G286)=0,"",E286+IF(F286="",0,F286)-IF(G286="",0,G286))</x:f>
      </x:c>
      <x:c r="I286" s="42" t="str">
        <x:f>IF(H286="","",MAX(0,L286-H286))</x:f>
      </x:c>
      <x:c r="J286" t="str">
        <x:f>IF(H286="","UNKNOWN - inventory not entered",IF(H286&lt;=D286,"REORDER NOW",IF(H286&lt;=1.2*D286,"WATCH","OK")))</x:f>
        <x:v>UNKNOWN - inventory not entered</x:v>
      </x:c>
      <x:c r="K286" t="str">
        <x:v>Medium</x:v>
      </x:c>
      <x:c r="L286" t="n">
        <x:v>831</x:v>
      </x:c>
    </x:row>
    <x:row r="287">
      <x:c r="A287" t="n">
        <x:v>5</x:v>
      </x:c>
      <x:c r="B287" t="n">
        <x:v>14</x:v>
      </x:c>
      <x:c r="C287" t="str">
        <x:v>A</x:v>
      </x:c>
      <x:c r="D287" s="42" t="n">
        <x:v>596</x:v>
      </x:c>
      <x:c r="E287" s="44"/>
      <x:c r="F287" s="44"/>
      <x:c r="G287" s="44"/>
      <x:c r="H287" s="42" t="str">
        <x:f>IF(COUNT(E287:G287)=0,"",E287+IF(F287="",0,F287)-IF(G287="",0,G287))</x:f>
      </x:c>
      <x:c r="I287" s="42" t="str">
        <x:f>IF(H287="","",MAX(0,L287-H287))</x:f>
      </x:c>
      <x:c r="J287" t="str">
        <x:f>IF(H287="","UNKNOWN - inventory not entered",IF(H287&lt;=D287,"REORDER NOW",IF(H287&lt;=1.2*D287,"WATCH","OK")))</x:f>
        <x:v>UNKNOWN - inventory not entered</x:v>
      </x:c>
      <x:c r="K287" t="str">
        <x:v>Medium</x:v>
      </x:c>
      <x:c r="L287" t="n">
        <x:v>821</x:v>
      </x:c>
    </x:row>
    <x:row r="288">
      <x:c r="A288" t="n">
        <x:v>5</x:v>
      </x:c>
      <x:c r="B288" t="n">
        <x:v>6</x:v>
      </x:c>
      <x:c r="C288" t="str">
        <x:v>A</x:v>
      </x:c>
      <x:c r="D288" s="42" t="n">
        <x:v>583</x:v>
      </x:c>
      <x:c r="E288" s="44"/>
      <x:c r="F288" s="44"/>
      <x:c r="G288" s="44"/>
      <x:c r="H288" s="42" t="str">
        <x:f>IF(COUNT(E288:G288)=0,"",E288+IF(F288="",0,F288)-IF(G288="",0,G288))</x:f>
      </x:c>
      <x:c r="I288" s="42" t="str">
        <x:f>IF(H288="","",MAX(0,L288-H288))</x:f>
      </x:c>
      <x:c r="J288" t="str">
        <x:f>IF(H288="","UNKNOWN - inventory not entered",IF(H288&lt;=D288,"REORDER NOW",IF(H288&lt;=1.2*D288,"WATCH","OK")))</x:f>
        <x:v>UNKNOWN - inventory not entered</x:v>
      </x:c>
      <x:c r="K288" t="str">
        <x:v>Medium</x:v>
      </x:c>
      <x:c r="L288" t="n">
        <x:v>840</x:v>
      </x:c>
    </x:row>
    <x:row r="289">
      <x:c r="A289" t="n">
        <x:v>10</x:v>
      </x:c>
      <x:c r="B289" t="n">
        <x:v>19</x:v>
      </x:c>
      <x:c r="C289" t="str">
        <x:v>B</x:v>
      </x:c>
      <x:c r="D289" s="42" t="n">
        <x:v>565</x:v>
      </x:c>
      <x:c r="E289" s="44"/>
      <x:c r="F289" s="44"/>
      <x:c r="G289" s="44"/>
      <x:c r="H289" s="42" t="str">
        <x:f>IF(COUNT(E289:G289)=0,"",E289+IF(F289="",0,F289)-IF(G289="",0,G289))</x:f>
      </x:c>
      <x:c r="I289" s="42" t="str">
        <x:f>IF(H289="","",MAX(0,L289-H289))</x:f>
      </x:c>
      <x:c r="J289" t="str">
        <x:f>IF(H289="","UNKNOWN - inventory not entered",IF(H289&lt;=D289,"REORDER NOW",IF(H289&lt;=1.2*D289,"WATCH","OK")))</x:f>
        <x:v>UNKNOWN - inventory not entered</x:v>
      </x:c>
      <x:c r="K289" t="str">
        <x:v>Medium</x:v>
      </x:c>
      <x:c r="L289" t="n">
        <x:v>799</x:v>
      </x:c>
    </x:row>
    <x:row r="290">
      <x:c r="A290" t="n">
        <x:v>5</x:v>
      </x:c>
      <x:c r="B290" t="n">
        <x:v>2</x:v>
      </x:c>
      <x:c r="C290" t="str">
        <x:v>A</x:v>
      </x:c>
      <x:c r="D290" s="42" t="n">
        <x:v>518</x:v>
      </x:c>
      <x:c r="E290" s="44"/>
      <x:c r="F290" s="44"/>
      <x:c r="G290" s="44"/>
      <x:c r="H290" s="42" t="str">
        <x:f>IF(COUNT(E290:G290)=0,"",E290+IF(F290="",0,F290)-IF(G290="",0,G290))</x:f>
      </x:c>
      <x:c r="I290" s="42" t="str">
        <x:f>IF(H290="","",MAX(0,L290-H290))</x:f>
      </x:c>
      <x:c r="J290" t="str">
        <x:f>IF(H290="","UNKNOWN - inventory not entered",IF(H290&lt;=D290,"REORDER NOW",IF(H290&lt;=1.2*D290,"WATCH","OK")))</x:f>
        <x:v>UNKNOWN - inventory not entered</x:v>
      </x:c>
      <x:c r="K290" t="str">
        <x:v>Medium</x:v>
      </x:c>
      <x:c r="L290" t="n">
        <x:v>754</x:v>
      </x:c>
    </x:row>
    <x:row r="291">
      <x:c r="A291" t="n">
        <x:v>8</x:v>
      </x:c>
      <x:c r="B291" t="n">
        <x:v>42</x:v>
      </x:c>
      <x:c r="C291" t="str">
        <x:v>B</x:v>
      </x:c>
      <x:c r="D291" s="42" t="n">
        <x:v>558</x:v>
      </x:c>
      <x:c r="E291" s="44"/>
      <x:c r="F291" s="44"/>
      <x:c r="G291" s="44"/>
      <x:c r="H291" s="42" t="str">
        <x:f>IF(COUNT(E291:G291)=0,"",E291+IF(F291="",0,F291)-IF(G291="",0,G291))</x:f>
      </x:c>
      <x:c r="I291" s="42" t="str">
        <x:f>IF(H291="","",MAX(0,L291-H291))</x:f>
      </x:c>
      <x:c r="J291" t="str">
        <x:f>IF(H291="","UNKNOWN - inventory not entered",IF(H291&lt;=D291,"REORDER NOW",IF(H291&lt;=1.2*D291,"WATCH","OK")))</x:f>
        <x:v>UNKNOWN - inventory not entered</x:v>
      </x:c>
      <x:c r="K291" t="str">
        <x:v>Medium</x:v>
      </x:c>
      <x:c r="L291" t="n">
        <x:v>813</x:v>
      </x:c>
    </x:row>
    <x:row r="292">
      <x:c r="A292" t="n">
        <x:v>5</x:v>
      </x:c>
      <x:c r="B292" t="n">
        <x:v>46</x:v>
      </x:c>
      <x:c r="C292" t="str">
        <x:v>A</x:v>
      </x:c>
      <x:c r="D292" s="42" t="n">
        <x:v>563</x:v>
      </x:c>
      <x:c r="E292" s="44"/>
      <x:c r="F292" s="44"/>
      <x:c r="G292" s="44"/>
      <x:c r="H292" s="42" t="str">
        <x:f>IF(COUNT(E292:G292)=0,"",E292+IF(F292="",0,F292)-IF(G292="",0,G292))</x:f>
      </x:c>
      <x:c r="I292" s="42" t="str">
        <x:f>IF(H292="","",MAX(0,L292-H292))</x:f>
      </x:c>
      <x:c r="J292" t="str">
        <x:f>IF(H292="","UNKNOWN - inventory not entered",IF(H292&lt;=D292,"REORDER NOW",IF(H292&lt;=1.2*D292,"WATCH","OK")))</x:f>
        <x:v>UNKNOWN - inventory not entered</x:v>
      </x:c>
      <x:c r="K292" t="str">
        <x:v>Medium</x:v>
      </x:c>
      <x:c r="L292" t="n">
        <x:v>839</x:v>
      </x:c>
    </x:row>
    <x:row r="293">
      <x:c r="A293" t="n">
        <x:v>6</x:v>
      </x:c>
      <x:c r="B293" t="n">
        <x:v>6</x:v>
      </x:c>
      <x:c r="C293" t="str">
        <x:v>A</x:v>
      </x:c>
      <x:c r="D293" s="42" t="n">
        <x:v>550</x:v>
      </x:c>
      <x:c r="E293" s="44"/>
      <x:c r="F293" s="44"/>
      <x:c r="G293" s="44"/>
      <x:c r="H293" s="42" t="str">
        <x:f>IF(COUNT(E293:G293)=0,"",E293+IF(F293="",0,F293)-IF(G293="",0,G293))</x:f>
      </x:c>
      <x:c r="I293" s="42" t="str">
        <x:f>IF(H293="","",MAX(0,L293-H293))</x:f>
      </x:c>
      <x:c r="J293" t="str">
        <x:f>IF(H293="","UNKNOWN - inventory not entered",IF(H293&lt;=D293,"REORDER NOW",IF(H293&lt;=1.2*D293,"WATCH","OK")))</x:f>
        <x:v>UNKNOWN - inventory not entered</x:v>
      </x:c>
      <x:c r="K293" t="str">
        <x:v>Medium</x:v>
      </x:c>
      <x:c r="L293" t="n">
        <x:v>782</x:v>
      </x:c>
    </x:row>
    <x:row r="294">
      <x:c r="A294" t="n">
        <x:v>6</x:v>
      </x:c>
      <x:c r="B294" t="n">
        <x:v>14</x:v>
      </x:c>
      <x:c r="C294" t="str">
        <x:v>A</x:v>
      </x:c>
      <x:c r="D294" s="42" t="n">
        <x:v>568</x:v>
      </x:c>
      <x:c r="E294" s="44"/>
      <x:c r="F294" s="44"/>
      <x:c r="G294" s="44"/>
      <x:c r="H294" s="42" t="str">
        <x:f>IF(COUNT(E294:G294)=0,"",E294+IF(F294="",0,F294)-IF(G294="",0,G294))</x:f>
      </x:c>
      <x:c r="I294" s="42" t="str">
        <x:f>IF(H294="","",MAX(0,L294-H294))</x:f>
      </x:c>
      <x:c r="J294" t="str">
        <x:f>IF(H294="","UNKNOWN - inventory not entered",IF(H294&lt;=D294,"REORDER NOW",IF(H294&lt;=1.2*D294,"WATCH","OK")))</x:f>
        <x:v>UNKNOWN - inventory not entered</x:v>
      </x:c>
      <x:c r="K294" t="str">
        <x:v>Medium</x:v>
      </x:c>
      <x:c r="L294" t="n">
        <x:v>794</x:v>
      </x:c>
    </x:row>
    <x:row r="295">
      <x:c r="A295" t="n">
        <x:v>6</x:v>
      </x:c>
      <x:c r="B295" t="n">
        <x:v>2</x:v>
      </x:c>
      <x:c r="C295" t="str">
        <x:v>A</x:v>
      </x:c>
      <x:c r="D295" s="42" t="n">
        <x:v>516</x:v>
      </x:c>
      <x:c r="E295" s="44"/>
      <x:c r="F295" s="44"/>
      <x:c r="G295" s="44"/>
      <x:c r="H295" s="42" t="str">
        <x:f>IF(COUNT(E295:G295)=0,"",E295+IF(F295="",0,F295)-IF(G295="",0,G295))</x:f>
      </x:c>
      <x:c r="I295" s="42" t="str">
        <x:f>IF(H295="","",MAX(0,L295-H295))</x:f>
      </x:c>
      <x:c r="J295" t="str">
        <x:f>IF(H295="","UNKNOWN - inventory not entered",IF(H295&lt;=D295,"REORDER NOW",IF(H295&lt;=1.2*D295,"WATCH","OK")))</x:f>
        <x:v>UNKNOWN - inventory not entered</x:v>
      </x:c>
      <x:c r="K295" t="str">
        <x:v>Medium</x:v>
      </x:c>
      <x:c r="L295" t="n">
        <x:v>744</x:v>
      </x:c>
    </x:row>
    <x:row r="296">
      <x:c r="A296" t="n">
        <x:v>8</x:v>
      </x:c>
      <x:c r="B296" t="n">
        <x:v>3</x:v>
      </x:c>
      <x:c r="C296" t="str">
        <x:v>B</x:v>
      </x:c>
      <x:c r="D296" s="42" t="n">
        <x:v>513</x:v>
      </x:c>
      <x:c r="E296" s="44"/>
      <x:c r="F296" s="44"/>
      <x:c r="G296" s="44"/>
      <x:c r="H296" s="42" t="str">
        <x:f>IF(COUNT(E296:G296)=0,"",E296+IF(F296="",0,F296)-IF(G296="",0,G296))</x:f>
      </x:c>
      <x:c r="I296" s="42" t="str">
        <x:f>IF(H296="","",MAX(0,L296-H296))</x:f>
      </x:c>
      <x:c r="J296" t="str">
        <x:f>IF(H296="","UNKNOWN - inventory not entered",IF(H296&lt;=D296,"REORDER NOW",IF(H296&lt;=1.2*D296,"WATCH","OK")))</x:f>
        <x:v>UNKNOWN - inventory not entered</x:v>
      </x:c>
      <x:c r="K296" t="str">
        <x:v>Medium</x:v>
      </x:c>
      <x:c r="L296" t="n">
        <x:v>755</x:v>
      </x:c>
    </x:row>
    <x:row r="297">
      <x:c r="A297" t="n">
        <x:v>1</x:v>
      </x:c>
      <x:c r="B297" t="n">
        <x:v>20</x:v>
      </x:c>
      <x:c r="C297" t="str">
        <x:v>A</x:v>
      </x:c>
      <x:c r="D297" s="42" t="n">
        <x:v>509</x:v>
      </x:c>
      <x:c r="E297" s="44"/>
      <x:c r="F297" s="44"/>
      <x:c r="G297" s="44"/>
      <x:c r="H297" s="42" t="str">
        <x:f>IF(COUNT(E297:G297)=0,"",E297+IF(F297="",0,F297)-IF(G297="",0,G297))</x:f>
      </x:c>
      <x:c r="I297" s="42" t="str">
        <x:f>IF(H297="","",MAX(0,L297-H297))</x:f>
      </x:c>
      <x:c r="J297" t="str">
        <x:f>IF(H297="","UNKNOWN - inventory not entered",IF(H297&lt;=D297,"REORDER NOW",IF(H297&lt;=1.2*D297,"WATCH","OK")))</x:f>
        <x:v>UNKNOWN - inventory not entered</x:v>
      </x:c>
      <x:c r="K297" t="str">
        <x:v>Medium</x:v>
      </x:c>
      <x:c r="L297" t="n">
        <x:v>751</x:v>
      </x:c>
    </x:row>
    <x:row r="298">
      <x:c r="A298" t="n">
        <x:v>6</x:v>
      </x:c>
      <x:c r="B298" t="n">
        <x:v>7</x:v>
      </x:c>
      <x:c r="C298" t="str">
        <x:v>A</x:v>
      </x:c>
      <x:c r="D298" s="42" t="n">
        <x:v>533</x:v>
      </x:c>
      <x:c r="E298" s="44"/>
      <x:c r="F298" s="44"/>
      <x:c r="G298" s="44"/>
      <x:c r="H298" s="42" t="str">
        <x:f>IF(COUNT(E298:G298)=0,"",E298+IF(F298="",0,F298)-IF(G298="",0,G298))</x:f>
      </x:c>
      <x:c r="I298" s="42" t="str">
        <x:f>IF(H298="","",MAX(0,L298-H298))</x:f>
      </x:c>
      <x:c r="J298" t="str">
        <x:f>IF(H298="","UNKNOWN - inventory not entered",IF(H298&lt;=D298,"REORDER NOW",IF(H298&lt;=1.2*D298,"WATCH","OK")))</x:f>
        <x:v>UNKNOWN - inventory not entered</x:v>
      </x:c>
      <x:c r="K298" t="str">
        <x:v>Medium</x:v>
      </x:c>
      <x:c r="L298" t="n">
        <x:v>777</x:v>
      </x:c>
    </x:row>
    <x:row r="299">
      <x:c r="A299" t="n">
        <x:v>6</x:v>
      </x:c>
      <x:c r="B299" t="n">
        <x:v>46</x:v>
      </x:c>
      <x:c r="C299" t="str">
        <x:v>A</x:v>
      </x:c>
      <x:c r="D299" s="42" t="n">
        <x:v>541</x:v>
      </x:c>
      <x:c r="E299" s="44"/>
      <x:c r="F299" s="44"/>
      <x:c r="G299" s="44"/>
      <x:c r="H299" s="42" t="str">
        <x:f>IF(COUNT(E299:G299)=0,"",E299+IF(F299="",0,F299)-IF(G299="",0,G299))</x:f>
      </x:c>
      <x:c r="I299" s="42" t="str">
        <x:f>IF(H299="","",MAX(0,L299-H299))</x:f>
      </x:c>
      <x:c r="J299" t="str">
        <x:f>IF(H299="","UNKNOWN - inventory not entered",IF(H299&lt;=D299,"REORDER NOW",IF(H299&lt;=1.2*D299,"WATCH","OK")))</x:f>
        <x:v>UNKNOWN - inventory not entered</x:v>
      </x:c>
      <x:c r="K299" t="str">
        <x:v>Medium</x:v>
      </x:c>
      <x:c r="L299" t="n">
        <x:v>814</x:v>
      </x:c>
    </x:row>
    <x:row r="300">
      <x:c r="A300" t="n">
        <x:v>9</x:v>
      </x:c>
      <x:c r="B300" t="n">
        <x:v>21</x:v>
      </x:c>
      <x:c r="C300" t="str">
        <x:v>B</x:v>
      </x:c>
      <x:c r="D300" s="42" t="n">
        <x:v>534</x:v>
      </x:c>
      <x:c r="E300" s="44"/>
      <x:c r="F300" s="44"/>
      <x:c r="G300" s="44"/>
      <x:c r="H300" s="42" t="str">
        <x:f>IF(COUNT(E300:G300)=0,"",E300+IF(F300="",0,F300)-IF(G300="",0,G300))</x:f>
      </x:c>
      <x:c r="I300" s="42" t="str">
        <x:f>IF(H300="","",MAX(0,L300-H300))</x:f>
      </x:c>
      <x:c r="J300" t="str">
        <x:f>IF(H300="","UNKNOWN - inventory not entered",IF(H300&lt;=D300,"REORDER NOW",IF(H300&lt;=1.2*D300,"WATCH","OK")))</x:f>
        <x:v>UNKNOWN - inventory not entered</x:v>
      </x:c>
      <x:c r="K300" t="str">
        <x:v>Medium</x:v>
      </x:c>
      <x:c r="L300" t="n">
        <x:v>780</x:v>
      </x:c>
    </x:row>
    <x:row r="301">
      <x:c r="A301" t="n">
        <x:v>9</x:v>
      </x:c>
      <x:c r="B301" t="n">
        <x:v>30</x:v>
      </x:c>
      <x:c r="C301" t="str">
        <x:v>B</x:v>
      </x:c>
      <x:c r="D301" s="42" t="n">
        <x:v>530</x:v>
      </x:c>
      <x:c r="E301" s="44"/>
      <x:c r="F301" s="44"/>
      <x:c r="G301" s="44"/>
      <x:c r="H301" s="42" t="str">
        <x:f>IF(COUNT(E301:G301)=0,"",E301+IF(F301="",0,F301)-IF(G301="",0,G301))</x:f>
      </x:c>
      <x:c r="I301" s="42" t="str">
        <x:f>IF(H301="","",MAX(0,L301-H301))</x:f>
      </x:c>
      <x:c r="J301" t="str">
        <x:f>IF(H301="","UNKNOWN - inventory not entered",IF(H301&lt;=D301,"REORDER NOW",IF(H301&lt;=1.2*D301,"WATCH","OK")))</x:f>
        <x:v>UNKNOWN - inventory not entered</x:v>
      </x:c>
      <x:c r="K301" t="str">
        <x:v>Medium</x:v>
      </x:c>
      <x:c r="L301" t="n">
        <x:v>766</x:v>
      </x:c>
    </x:row>
    <x:row r="302">
      <x:c r="A302" t="n">
        <x:v>2</x:v>
      </x:c>
      <x:c r="B302" t="n">
        <x:v>17</x:v>
      </x:c>
      <x:c r="C302" t="str">
        <x:v>B</x:v>
      </x:c>
      <x:c r="D302" s="42" t="n">
        <x:v>536</x:v>
      </x:c>
      <x:c r="E302" s="44"/>
      <x:c r="F302" s="44"/>
      <x:c r="G302" s="44"/>
      <x:c r="H302" s="42" t="str">
        <x:f>IF(COUNT(E302:G302)=0,"",E302+IF(F302="",0,F302)-IF(G302="",0,G302))</x:f>
      </x:c>
      <x:c r="I302" s="42" t="str">
        <x:f>IF(H302="","",MAX(0,L302-H302))</x:f>
      </x:c>
      <x:c r="J302" t="str">
        <x:f>IF(H302="","UNKNOWN - inventory not entered",IF(H302&lt;=D302,"REORDER NOW",IF(H302&lt;=1.2*D302,"WATCH","OK")))</x:f>
        <x:v>UNKNOWN - inventory not entered</x:v>
      </x:c>
      <x:c r="K302" t="str">
        <x:v>Medium</x:v>
      </x:c>
      <x:c r="L302" t="n">
        <x:v>772</x:v>
      </x:c>
    </x:row>
    <x:row r="303">
      <x:c r="A303" t="n">
        <x:v>9</x:v>
      </x:c>
      <x:c r="B303" t="n">
        <x:v>19</x:v>
      </x:c>
      <x:c r="C303" t="str">
        <x:v>B</x:v>
      </x:c>
      <x:c r="D303" s="42" t="n">
        <x:v>535</x:v>
      </x:c>
      <x:c r="E303" s="44"/>
      <x:c r="F303" s="44"/>
      <x:c r="G303" s="44"/>
      <x:c r="H303" s="42" t="str">
        <x:f>IF(COUNT(E303:G303)=0,"",E303+IF(F303="",0,F303)-IF(G303="",0,G303))</x:f>
      </x:c>
      <x:c r="I303" s="42" t="str">
        <x:f>IF(H303="","",MAX(0,L303-H303))</x:f>
      </x:c>
      <x:c r="J303" t="str">
        <x:f>IF(H303="","UNKNOWN - inventory not entered",IF(H303&lt;=D303,"REORDER NOW",IF(H303&lt;=1.2*D303,"WATCH","OK")))</x:f>
        <x:v>UNKNOWN - inventory not entered</x:v>
      </x:c>
      <x:c r="K303" t="str">
        <x:v>Medium</x:v>
      </x:c>
      <x:c r="L303" t="n">
        <x:v>766</x:v>
      </x:c>
    </x:row>
    <x:row r="304">
      <x:c r="A304" t="n">
        <x:v>5</x:v>
      </x:c>
      <x:c r="B304" t="n">
        <x:v>7</x:v>
      </x:c>
      <x:c r="C304" t="str">
        <x:v>A</x:v>
      </x:c>
      <x:c r="D304" s="42" t="n">
        <x:v>516</x:v>
      </x:c>
      <x:c r="E304" s="44"/>
      <x:c r="F304" s="44"/>
      <x:c r="G304" s="44"/>
      <x:c r="H304" s="42" t="str">
        <x:f>IF(COUNT(E304:G304)=0,"",E304+IF(F304="",0,F304)-IF(G304="",0,G304))</x:f>
      </x:c>
      <x:c r="I304" s="42" t="str">
        <x:f>IF(H304="","",MAX(0,L304-H304))</x:f>
      </x:c>
      <x:c r="J304" t="str">
        <x:f>IF(H304="","UNKNOWN - inventory not entered",IF(H304&lt;=D304,"REORDER NOW",IF(H304&lt;=1.2*D304,"WATCH","OK")))</x:f>
        <x:v>UNKNOWN - inventory not entered</x:v>
      </x:c>
      <x:c r="K304" t="str">
        <x:v>Medium</x:v>
      </x:c>
      <x:c r="L304" t="n">
        <x:v>750</x:v>
      </x:c>
    </x:row>
    <x:row r="305">
      <x:c r="A305" t="n">
        <x:v>1</x:v>
      </x:c>
      <x:c r="B305" t="n">
        <x:v>26</x:v>
      </x:c>
      <x:c r="C305" t="str">
        <x:v>A</x:v>
      </x:c>
      <x:c r="D305" s="42" t="n">
        <x:v>507</x:v>
      </x:c>
      <x:c r="E305" s="44"/>
      <x:c r="F305" s="44"/>
      <x:c r="G305" s="44"/>
      <x:c r="H305" s="42" t="str">
        <x:f>IF(COUNT(E305:G305)=0,"",E305+IF(F305="",0,F305)-IF(G305="",0,G305))</x:f>
      </x:c>
      <x:c r="I305" s="42" t="str">
        <x:f>IF(H305="","",MAX(0,L305-H305))</x:f>
      </x:c>
      <x:c r="J305" t="str">
        <x:f>IF(H305="","UNKNOWN - inventory not entered",IF(H305&lt;=D305,"REORDER NOW",IF(H305&lt;=1.2*D305,"WATCH","OK")))</x:f>
        <x:v>UNKNOWN - inventory not entered</x:v>
      </x:c>
      <x:c r="K305" t="str">
        <x:v>Medium</x:v>
      </x:c>
      <x:c r="L305" t="n">
        <x:v>736</x:v>
      </x:c>
    </x:row>
    <x:row r="306">
      <x:c r="A306" t="n">
        <x:v>4</x:v>
      </x:c>
      <x:c r="B306" t="n">
        <x:v>21</x:v>
      </x:c>
      <x:c r="C306" t="str">
        <x:v>B</x:v>
      </x:c>
      <x:c r="D306" s="42" t="n">
        <x:v>549</x:v>
      </x:c>
      <x:c r="E306" s="44"/>
      <x:c r="F306" s="44"/>
      <x:c r="G306" s="44"/>
      <x:c r="H306" s="42" t="str">
        <x:f>IF(COUNT(E306:G306)=0,"",E306+IF(F306="",0,F306)-IF(G306="",0,G306))</x:f>
      </x:c>
      <x:c r="I306" s="42" t="str">
        <x:f>IF(H306="","",MAX(0,L306-H306))</x:f>
      </x:c>
      <x:c r="J306" t="str">
        <x:f>IF(H306="","UNKNOWN - inventory not entered",IF(H306&lt;=D306,"REORDER NOW",IF(H306&lt;=1.2*D306,"WATCH","OK")))</x:f>
        <x:v>UNKNOWN - inventory not entered</x:v>
      </x:c>
      <x:c r="K306" t="str">
        <x:v>Medium</x:v>
      </x:c>
      <x:c r="L306" t="n">
        <x:v>791</x:v>
      </x:c>
    </x:row>
    <x:row r="307">
      <x:c r="A307" t="n">
        <x:v>3</x:v>
      </x:c>
      <x:c r="B307" t="n">
        <x:v>3</x:v>
      </x:c>
      <x:c r="C307" t="str">
        <x:v>B</x:v>
      </x:c>
      <x:c r="D307" s="42" t="n">
        <x:v>525</x:v>
      </x:c>
      <x:c r="E307" s="44"/>
      <x:c r="F307" s="44"/>
      <x:c r="G307" s="44"/>
      <x:c r="H307" s="42" t="str">
        <x:f>IF(COUNT(E307:G307)=0,"",E307+IF(F307="",0,F307)-IF(G307="",0,G307))</x:f>
      </x:c>
      <x:c r="I307" s="42" t="str">
        <x:f>IF(H307="","",MAX(0,L307-H307))</x:f>
      </x:c>
      <x:c r="J307" t="str">
        <x:f>IF(H307="","UNKNOWN - inventory not entered",IF(H307&lt;=D307,"REORDER NOW",IF(H307&lt;=1.2*D307,"WATCH","OK")))</x:f>
        <x:v>UNKNOWN - inventory not entered</x:v>
      </x:c>
      <x:c r="K307" t="str">
        <x:v>Medium</x:v>
      </x:c>
      <x:c r="L307" t="n">
        <x:v>768</x:v>
      </x:c>
    </x:row>
    <x:row r="308">
      <x:c r="A308" t="n">
        <x:v>4</x:v>
      </x:c>
      <x:c r="B308" t="n">
        <x:v>19</x:v>
      </x:c>
      <x:c r="C308" t="str">
        <x:v>B</x:v>
      </x:c>
      <x:c r="D308" s="42" t="n">
        <x:v>551</x:v>
      </x:c>
      <x:c r="E308" s="44"/>
      <x:c r="F308" s="44"/>
      <x:c r="G308" s="44"/>
      <x:c r="H308" s="42" t="str">
        <x:f>IF(COUNT(E308:G308)=0,"",E308+IF(F308="",0,F308)-IF(G308="",0,G308))</x:f>
      </x:c>
      <x:c r="I308" s="42" t="str">
        <x:f>IF(H308="","",MAX(0,L308-H308))</x:f>
      </x:c>
      <x:c r="J308" t="str">
        <x:f>IF(H308="","UNKNOWN - inventory not entered",IF(H308&lt;=D308,"REORDER NOW",IF(H308&lt;=1.2*D308,"WATCH","OK")))</x:f>
        <x:v>UNKNOWN - inventory not entered</x:v>
      </x:c>
      <x:c r="K308" t="str">
        <x:v>Medium</x:v>
      </x:c>
      <x:c r="L308" t="n">
        <x:v>800</x:v>
      </x:c>
    </x:row>
    <x:row r="309">
      <x:c r="A309" t="n">
        <x:v>3</x:v>
      </x:c>
      <x:c r="B309" t="n">
        <x:v>42</x:v>
      </x:c>
      <x:c r="C309" t="str">
        <x:v>B</x:v>
      </x:c>
      <x:c r="D309" s="42" t="n">
        <x:v>507</x:v>
      </x:c>
      <x:c r="E309" s="44"/>
      <x:c r="F309" s="44"/>
      <x:c r="G309" s="44"/>
      <x:c r="H309" s="42" t="str">
        <x:f>IF(COUNT(E309:G309)=0,"",E309+IF(F309="",0,F309)-IF(G309="",0,G309))</x:f>
      </x:c>
      <x:c r="I309" s="42" t="str">
        <x:f>IF(H309="","",MAX(0,L309-H309))</x:f>
      </x:c>
      <x:c r="J309" t="str">
        <x:f>IF(H309="","UNKNOWN - inventory not entered",IF(H309&lt;=D309,"REORDER NOW",IF(H309&lt;=1.2*D309,"WATCH","OK")))</x:f>
        <x:v>UNKNOWN - inventory not entered</x:v>
      </x:c>
      <x:c r="K309" t="str">
        <x:v>Medium</x:v>
      </x:c>
      <x:c r="L309" t="n">
        <x:v>750</x:v>
      </x:c>
    </x:row>
    <x:row r="310">
      <x:c r="A310" t="n">
        <x:v>10</x:v>
      </x:c>
      <x:c r="B310" t="n">
        <x:v>42</x:v>
      </x:c>
      <x:c r="C310" t="str">
        <x:v>B</x:v>
      </x:c>
      <x:c r="D310" s="42" t="n">
        <x:v>517</x:v>
      </x:c>
      <x:c r="E310" s="44"/>
      <x:c r="F310" s="44"/>
      <x:c r="G310" s="44"/>
      <x:c r="H310" s="42" t="str">
        <x:f>IF(COUNT(E310:G310)=0,"",E310+IF(F310="",0,F310)-IF(G310="",0,G310))</x:f>
      </x:c>
      <x:c r="I310" s="42" t="str">
        <x:f>IF(H310="","",MAX(0,L310-H310))</x:f>
      </x:c>
      <x:c r="J310" t="str">
        <x:f>IF(H310="","UNKNOWN - inventory not entered",IF(H310&lt;=D310,"REORDER NOW",IF(H310&lt;=1.2*D310,"WATCH","OK")))</x:f>
        <x:v>UNKNOWN - inventory not entered</x:v>
      </x:c>
      <x:c r="K310" t="str">
        <x:v>Medium</x:v>
      </x:c>
      <x:c r="L310" t="n">
        <x:v>747</x:v>
      </x:c>
    </x:row>
    <x:row r="311">
      <x:c r="A311" t="n">
        <x:v>4</x:v>
      </x:c>
      <x:c r="B311" t="n">
        <x:v>30</x:v>
      </x:c>
      <x:c r="C311" t="str">
        <x:v>B</x:v>
      </x:c>
      <x:c r="D311" s="42" t="n">
        <x:v>529</x:v>
      </x:c>
      <x:c r="E311" s="44"/>
      <x:c r="F311" s="44"/>
      <x:c r="G311" s="44"/>
      <x:c r="H311" s="42" t="str">
        <x:f>IF(COUNT(E311:G311)=0,"",E311+IF(F311="",0,F311)-IF(G311="",0,G311))</x:f>
      </x:c>
      <x:c r="I311" s="42" t="str">
        <x:f>IF(H311="","",MAX(0,L311-H311))</x:f>
      </x:c>
      <x:c r="J311" t="str">
        <x:f>IF(H311="","UNKNOWN - inventory not entered",IF(H311&lt;=D311,"REORDER NOW",IF(H311&lt;=1.2*D311,"WATCH","OK")))</x:f>
        <x:v>UNKNOWN - inventory not entered</x:v>
      </x:c>
      <x:c r="K311" t="str">
        <x:v>Medium</x:v>
      </x:c>
      <x:c r="L311" t="n">
        <x:v>760</x:v>
      </x:c>
    </x:row>
    <x:row r="312">
      <x:c r="A312" t="n">
        <x:v>7</x:v>
      </x:c>
      <x:c r="B312" t="n">
        <x:v>14</x:v>
      </x:c>
      <x:c r="C312" t="str">
        <x:v>A</x:v>
      </x:c>
      <x:c r="D312" s="42" t="n">
        <x:v>509</x:v>
      </x:c>
      <x:c r="E312" s="44"/>
      <x:c r="F312" s="44"/>
      <x:c r="G312" s="44"/>
      <x:c r="H312" s="42" t="str">
        <x:f>IF(COUNT(E312:G312)=0,"",E312+IF(F312="",0,F312)-IF(G312="",0,G312))</x:f>
      </x:c>
      <x:c r="I312" s="42" t="str">
        <x:f>IF(H312="","",MAX(0,L312-H312))</x:f>
      </x:c>
      <x:c r="J312" t="str">
        <x:f>IF(H312="","UNKNOWN - inventory not entered",IF(H312&lt;=D312,"REORDER NOW",IF(H312&lt;=1.2*D312,"WATCH","OK")))</x:f>
        <x:v>UNKNOWN - inventory not entered</x:v>
      </x:c>
      <x:c r="K312" t="str">
        <x:v>Medium</x:v>
      </x:c>
      <x:c r="L312" t="n">
        <x:v>769</x:v>
      </x:c>
    </x:row>
    <x:row r="313">
      <x:c r="A313" t="n">
        <x:v>7</x:v>
      </x:c>
      <x:c r="B313" t="n">
        <x:v>31</x:v>
      </x:c>
      <x:c r="C313" t="str">
        <x:v>A</x:v>
      </x:c>
      <x:c r="D313" s="42" t="n">
        <x:v>486</x:v>
      </x:c>
      <x:c r="E313" s="44"/>
      <x:c r="F313" s="44"/>
      <x:c r="G313" s="44"/>
      <x:c r="H313" s="42" t="str">
        <x:f>IF(COUNT(E313:G313)=0,"",E313+IF(F313="",0,F313)-IF(G313="",0,G313))</x:f>
      </x:c>
      <x:c r="I313" s="42" t="str">
        <x:f>IF(H313="","",MAX(0,L313-H313))</x:f>
      </x:c>
      <x:c r="J313" t="str">
        <x:f>IF(H313="","UNKNOWN - inventory not entered",IF(H313&lt;=D313,"REORDER NOW",IF(H313&lt;=1.2*D313,"WATCH","OK")))</x:f>
        <x:v>UNKNOWN - inventory not entered</x:v>
      </x:c>
      <x:c r="K313" t="str">
        <x:v>Medium</x:v>
      </x:c>
      <x:c r="L313" t="n">
        <x:v>732</x:v>
      </x:c>
    </x:row>
    <x:row r="314">
      <x:c r="A314" t="n">
        <x:v>7</x:v>
      </x:c>
      <x:c r="B314" t="n">
        <x:v>46</x:v>
      </x:c>
      <x:c r="C314" t="str">
        <x:v>A</x:v>
      </x:c>
      <x:c r="D314" s="42" t="n">
        <x:v>500</x:v>
      </x:c>
      <x:c r="E314" s="44"/>
      <x:c r="F314" s="44"/>
      <x:c r="G314" s="44"/>
      <x:c r="H314" s="42" t="str">
        <x:f>IF(COUNT(E314:G314)=0,"",E314+IF(F314="",0,F314)-IF(G314="",0,G314))</x:f>
      </x:c>
      <x:c r="I314" s="42" t="str">
        <x:f>IF(H314="","",MAX(0,L314-H314))</x:f>
      </x:c>
      <x:c r="J314" t="str">
        <x:f>IF(H314="","UNKNOWN - inventory not entered",IF(H314&lt;=D314,"REORDER NOW",IF(H314&lt;=1.2*D314,"WATCH","OK")))</x:f>
        <x:v>UNKNOWN - inventory not entered</x:v>
      </x:c>
      <x:c r="K314" t="str">
        <x:v>Medium</x:v>
      </x:c>
      <x:c r="L314" t="n">
        <x:v>735</x:v>
      </x:c>
    </x:row>
    <x:row r="315">
      <x:c r="A315" t="n">
        <x:v>7</x:v>
      </x:c>
      <x:c r="B315" t="n">
        <x:v>6</x:v>
      </x:c>
      <x:c r="C315" t="str">
        <x:v>A</x:v>
      </x:c>
      <x:c r="D315" s="42" t="n">
        <x:v>523</x:v>
      </x:c>
      <x:c r="E315" s="44"/>
      <x:c r="F315" s="44"/>
      <x:c r="G315" s="44"/>
      <x:c r="H315" s="42" t="str">
        <x:f>IF(COUNT(E315:G315)=0,"",E315+IF(F315="",0,F315)-IF(G315="",0,G315))</x:f>
      </x:c>
      <x:c r="I315" s="42" t="str">
        <x:f>IF(H315="","",MAX(0,L315-H315))</x:f>
      </x:c>
      <x:c r="J315" t="str">
        <x:f>IF(H315="","UNKNOWN - inventory not entered",IF(H315&lt;=D315,"REORDER NOW",IF(H315&lt;=1.2*D315,"WATCH","OK")))</x:f>
        <x:v>UNKNOWN - inventory not entered</x:v>
      </x:c>
      <x:c r="K315" t="str">
        <x:v>Medium</x:v>
      </x:c>
      <x:c r="L315" t="n">
        <x:v>732</x:v>
      </x:c>
    </x:row>
    <x:row r="316">
      <x:c r="A316" t="n">
        <x:v>10</x:v>
      </x:c>
      <x:c r="B316" t="n">
        <x:v>3</x:v>
      </x:c>
      <x:c r="C316" t="str">
        <x:v>B</x:v>
      </x:c>
      <x:c r="D316" s="42" t="n">
        <x:v>496</x:v>
      </x:c>
      <x:c r="E316" s="44"/>
      <x:c r="F316" s="44"/>
      <x:c r="G316" s="44"/>
      <x:c r="H316" s="42" t="str">
        <x:f>IF(COUNT(E316:G316)=0,"",E316+IF(F316="",0,F316)-IF(G316="",0,G316))</x:f>
      </x:c>
      <x:c r="I316" s="42" t="str">
        <x:f>IF(H316="","",MAX(0,L316-H316))</x:f>
      </x:c>
      <x:c r="J316" t="str">
        <x:f>IF(H316="","UNKNOWN - inventory not entered",IF(H316&lt;=D316,"REORDER NOW",IF(H316&lt;=1.2*D316,"WATCH","OK")))</x:f>
        <x:v>UNKNOWN - inventory not entered</x:v>
      </x:c>
      <x:c r="K316" t="str">
        <x:v>Medium</x:v>
      </x:c>
      <x:c r="L316" t="n">
        <x:v>744</x:v>
      </x:c>
    </x:row>
    <x:row r="317">
      <x:c r="A317" t="n">
        <x:v>7</x:v>
      </x:c>
      <x:c r="B317" t="n">
        <x:v>7</x:v>
      </x:c>
      <x:c r="C317" t="str">
        <x:v>A</x:v>
      </x:c>
      <x:c r="D317" s="42" t="n">
        <x:v>506</x:v>
      </x:c>
      <x:c r="E317" s="44"/>
      <x:c r="F317" s="44"/>
      <x:c r="G317" s="44"/>
      <x:c r="H317" s="42" t="str">
        <x:f>IF(COUNT(E317:G317)=0,"",E317+IF(F317="",0,F317)-IF(G317="",0,G317))</x:f>
      </x:c>
      <x:c r="I317" s="42" t="str">
        <x:f>IF(H317="","",MAX(0,L317-H317))</x:f>
      </x:c>
      <x:c r="J317" t="str">
        <x:f>IF(H317="","UNKNOWN - inventory not entered",IF(H317&lt;=D317,"REORDER NOW",IF(H317&lt;=1.2*D317,"WATCH","OK")))</x:f>
        <x:v>UNKNOWN - inventory not entered</x:v>
      </x:c>
      <x:c r="K317" t="str">
        <x:v>Medium</x:v>
      </x:c>
      <x:c r="L317" t="n">
        <x:v>761</x:v>
      </x:c>
    </x:row>
    <x:row r="318">
      <x:c r="A318" t="n">
        <x:v>6</x:v>
      </x:c>
      <x:c r="B318" t="n">
        <x:v>9</x:v>
      </x:c>
      <x:c r="C318" t="str">
        <x:v>A</x:v>
      </x:c>
      <x:c r="D318" s="42" t="n">
        <x:v>507</x:v>
      </x:c>
      <x:c r="E318" s="44"/>
      <x:c r="F318" s="44"/>
      <x:c r="G318" s="44"/>
      <x:c r="H318" s="42" t="str">
        <x:f>IF(COUNT(E318:G318)=0,"",E318+IF(F318="",0,F318)-IF(G318="",0,G318))</x:f>
      </x:c>
      <x:c r="I318" s="42" t="str">
        <x:f>IF(H318="","",MAX(0,L318-H318))</x:f>
      </x:c>
      <x:c r="J318" t="str">
        <x:f>IF(H318="","UNKNOWN - inventory not entered",IF(H318&lt;=D318,"REORDER NOW",IF(H318&lt;=1.2*D318,"WATCH","OK")))</x:f>
        <x:v>UNKNOWN - inventory not entered</x:v>
      </x:c>
      <x:c r="K318" t="str">
        <x:v>Medium</x:v>
      </x:c>
      <x:c r="L318" t="n">
        <x:v>744</x:v>
      </x:c>
    </x:row>
    <x:row r="319">
      <x:c r="A319" t="n">
        <x:v>5</x:v>
      </x:c>
      <x:c r="B319" t="n">
        <x:v>9</x:v>
      </x:c>
      <x:c r="C319" t="str">
        <x:v>A</x:v>
      </x:c>
      <x:c r="D319" s="42" t="n">
        <x:v>460</x:v>
      </x:c>
      <x:c r="E319" s="44"/>
      <x:c r="F319" s="44"/>
      <x:c r="G319" s="44"/>
      <x:c r="H319" s="42" t="str">
        <x:f>IF(COUNT(E319:G319)=0,"",E319+IF(F319="",0,F319)-IF(G319="",0,G319))</x:f>
      </x:c>
      <x:c r="I319" s="42" t="str">
        <x:f>IF(H319="","",MAX(0,L319-H319))</x:f>
      </x:c>
      <x:c r="J319" t="str">
        <x:f>IF(H319="","UNKNOWN - inventory not entered",IF(H319&lt;=D319,"REORDER NOW",IF(H319&lt;=1.2*D319,"WATCH","OK")))</x:f>
        <x:v>UNKNOWN - inventory not entered</x:v>
      </x:c>
      <x:c r="K319" t="str">
        <x:v>Medium</x:v>
      </x:c>
      <x:c r="L319" t="n">
        <x:v>703</x:v>
      </x:c>
    </x:row>
    <x:row r="320">
      <x:c r="A320" t="n">
        <x:v>1</x:v>
      </x:c>
      <x:c r="B320" t="n">
        <x:v>39</x:v>
      </x:c>
      <x:c r="C320" t="str">
        <x:v>A</x:v>
      </x:c>
      <x:c r="D320" s="42" t="n">
        <x:v>497</x:v>
      </x:c>
      <x:c r="E320" s="44"/>
      <x:c r="F320" s="44"/>
      <x:c r="G320" s="44"/>
      <x:c r="H320" s="42" t="str">
        <x:f>IF(COUNT(E320:G320)=0,"",E320+IF(F320="",0,F320)-IF(G320="",0,G320))</x:f>
      </x:c>
      <x:c r="I320" s="42" t="str">
        <x:f>IF(H320="","",MAX(0,L320-H320))</x:f>
      </x:c>
      <x:c r="J320" t="str">
        <x:f>IF(H320="","UNKNOWN - inventory not entered",IF(H320&lt;=D320,"REORDER NOW",IF(H320&lt;=1.2*D320,"WATCH","OK")))</x:f>
        <x:v>UNKNOWN - inventory not entered</x:v>
      </x:c>
      <x:c r="K320" t="str">
        <x:v>Medium</x:v>
      </x:c>
      <x:c r="L320" t="n">
        <x:v>725</x:v>
      </x:c>
    </x:row>
    <x:row r="321">
      <x:c r="A321" t="n">
        <x:v>8</x:v>
      </x:c>
      <x:c r="B321" t="n">
        <x:v>17</x:v>
      </x:c>
      <x:c r="C321" t="str">
        <x:v>B</x:v>
      </x:c>
      <x:c r="D321" s="42" t="n">
        <x:v>489</x:v>
      </x:c>
      <x:c r="E321" s="44"/>
      <x:c r="F321" s="44"/>
      <x:c r="G321" s="44"/>
      <x:c r="H321" s="42" t="str">
        <x:f>IF(COUNT(E321:G321)=0,"",E321+IF(F321="",0,F321)-IF(G321="",0,G321))</x:f>
      </x:c>
      <x:c r="I321" s="42" t="str">
        <x:f>IF(H321="","",MAX(0,L321-H321))</x:f>
      </x:c>
      <x:c r="J321" t="str">
        <x:f>IF(H321="","UNKNOWN - inventory not entered",IF(H321&lt;=D321,"REORDER NOW",IF(H321&lt;=1.2*D321,"WATCH","OK")))</x:f>
        <x:v>UNKNOWN - inventory not entered</x:v>
      </x:c>
      <x:c r="K321" t="str">
        <x:v>Medium</x:v>
      </x:c>
      <x:c r="L321" t="n">
        <x:v>702</x:v>
      </x:c>
    </x:row>
    <x:row r="322">
      <x:c r="A322" t="n">
        <x:v>6</x:v>
      </x:c>
      <x:c r="B322" t="n">
        <x:v>43</x:v>
      </x:c>
      <x:c r="C322" t="str">
        <x:v>A</x:v>
      </x:c>
      <x:c r="D322" s="42" t="n">
        <x:v>469</x:v>
      </x:c>
      <x:c r="E322" s="44"/>
      <x:c r="F322" s="44"/>
      <x:c r="G322" s="44"/>
      <x:c r="H322" s="42" t="str">
        <x:f>IF(COUNT(E322:G322)=0,"",E322+IF(F322="",0,F322)-IF(G322="",0,G322))</x:f>
      </x:c>
      <x:c r="I322" s="42" t="str">
        <x:f>IF(H322="","",MAX(0,L322-H322))</x:f>
      </x:c>
      <x:c r="J322" t="str">
        <x:f>IF(H322="","UNKNOWN - inventory not entered",IF(H322&lt;=D322,"REORDER NOW",IF(H322&lt;=1.2*D322,"WATCH","OK")))</x:f>
        <x:v>UNKNOWN - inventory not entered</x:v>
      </x:c>
      <x:c r="K322" t="str">
        <x:v>Medium</x:v>
      </x:c>
      <x:c r="L322" t="n">
        <x:v>692</x:v>
      </x:c>
    </x:row>
    <x:row r="323">
      <x:c r="A323" t="n">
        <x:v>7</x:v>
      </x:c>
      <x:c r="B323" t="n">
        <x:v>2</x:v>
      </x:c>
      <x:c r="C323" t="str">
        <x:v>A</x:v>
      </x:c>
      <x:c r="D323" s="42" t="n">
        <x:v>476</x:v>
      </x:c>
      <x:c r="E323" s="44"/>
      <x:c r="F323" s="44"/>
      <x:c r="G323" s="44"/>
      <x:c r="H323" s="42" t="str">
        <x:f>IF(COUNT(E323:G323)=0,"",E323+IF(F323="",0,F323)-IF(G323="",0,G323))</x:f>
      </x:c>
      <x:c r="I323" s="42" t="str">
        <x:f>IF(H323="","",MAX(0,L323-H323))</x:f>
      </x:c>
      <x:c r="J323" t="str">
        <x:f>IF(H323="","UNKNOWN - inventory not entered",IF(H323&lt;=D323,"REORDER NOW",IF(H323&lt;=1.2*D323,"WATCH","OK")))</x:f>
        <x:v>UNKNOWN - inventory not entered</x:v>
      </x:c>
      <x:c r="K323" t="str">
        <x:v>Medium</x:v>
      </x:c>
      <x:c r="L323" t="n">
        <x:v>698</x:v>
      </x:c>
    </x:row>
    <x:row r="324">
      <x:c r="A324" t="n">
        <x:v>1</x:v>
      </x:c>
      <x:c r="B324" t="n">
        <x:v>32</x:v>
      </x:c>
      <x:c r="C324" t="str">
        <x:v>A</x:v>
      </x:c>
      <x:c r="D324" s="42" t="n">
        <x:v>471</x:v>
      </x:c>
      <x:c r="E324" s="44"/>
      <x:c r="F324" s="44"/>
      <x:c r="G324" s="44"/>
      <x:c r="H324" s="42" t="str">
        <x:f>IF(COUNT(E324:G324)=0,"",E324+IF(F324="",0,F324)-IF(G324="",0,G324))</x:f>
      </x:c>
      <x:c r="I324" s="42" t="str">
        <x:f>IF(H324="","",MAX(0,L324-H324))</x:f>
      </x:c>
      <x:c r="J324" t="str">
        <x:f>IF(H324="","UNKNOWN - inventory not entered",IF(H324&lt;=D324,"REORDER NOW",IF(H324&lt;=1.2*D324,"WATCH","OK")))</x:f>
        <x:v>UNKNOWN - inventory not entered</x:v>
      </x:c>
      <x:c r="K324" t="str">
        <x:v>Medium</x:v>
      </x:c>
      <x:c r="L324" t="n">
        <x:v>710</x:v>
      </x:c>
    </x:row>
    <x:row r="325">
      <x:c r="A325" t="n">
        <x:v>5</x:v>
      </x:c>
      <x:c r="B325" t="n">
        <x:v>48</x:v>
      </x:c>
      <x:c r="C325" t="str">
        <x:v>A</x:v>
      </x:c>
      <x:c r="D325" s="42" t="n">
        <x:v>495</x:v>
      </x:c>
      <x:c r="E325" s="44"/>
      <x:c r="F325" s="44"/>
      <x:c r="G325" s="44"/>
      <x:c r="H325" s="42" t="str">
        <x:f>IF(COUNT(E325:G325)=0,"",E325+IF(F325="",0,F325)-IF(G325="",0,G325))</x:f>
      </x:c>
      <x:c r="I325" s="42" t="str">
        <x:f>IF(H325="","",MAX(0,L325-H325))</x:f>
      </x:c>
      <x:c r="J325" t="str">
        <x:f>IF(H325="","UNKNOWN - inventory not entered",IF(H325&lt;=D325,"REORDER NOW",IF(H325&lt;=1.2*D325,"WATCH","OK")))</x:f>
        <x:v>UNKNOWN - inventory not entered</x:v>
      </x:c>
      <x:c r="K325" t="str">
        <x:v>Medium</x:v>
      </x:c>
      <x:c r="L325" t="n">
        <x:v>706</x:v>
      </x:c>
    </x:row>
    <x:row r="326">
      <x:c r="A326" t="n">
        <x:v>4</x:v>
      </x:c>
      <x:c r="B326" t="n">
        <x:v>3</x:v>
      </x:c>
      <x:c r="C326" t="str">
        <x:v>B</x:v>
      </x:c>
      <x:c r="D326" s="42" t="n">
        <x:v>514</x:v>
      </x:c>
      <x:c r="E326" s="44"/>
      <x:c r="F326" s="44"/>
      <x:c r="G326" s="44"/>
      <x:c r="H326" s="42" t="str">
        <x:f>IF(COUNT(E326:G326)=0,"",E326+IF(F326="",0,F326)-IF(G326="",0,G326))</x:f>
      </x:c>
      <x:c r="I326" s="42" t="str">
        <x:f>IF(H326="","",MAX(0,L326-H326))</x:f>
      </x:c>
      <x:c r="J326" t="str">
        <x:f>IF(H326="","UNKNOWN - inventory not entered",IF(H326&lt;=D326,"REORDER NOW",IF(H326&lt;=1.2*D326,"WATCH","OK")))</x:f>
        <x:v>UNKNOWN - inventory not entered</x:v>
      </x:c>
      <x:c r="K326" t="str">
        <x:v>Medium</x:v>
      </x:c>
      <x:c r="L326" t="n">
        <x:v>722</x:v>
      </x:c>
    </x:row>
    <x:row r="327">
      <x:c r="A327" t="n">
        <x:v>9</x:v>
      </x:c>
      <x:c r="B327" t="n">
        <x:v>3</x:v>
      </x:c>
      <x:c r="C327" t="str">
        <x:v>B</x:v>
      </x:c>
      <x:c r="D327" s="42" t="n">
        <x:v>475</x:v>
      </x:c>
      <x:c r="E327" s="44"/>
      <x:c r="F327" s="44"/>
      <x:c r="G327" s="44"/>
      <x:c r="H327" s="42" t="str">
        <x:f>IF(COUNT(E327:G327)=0,"",E327+IF(F327="",0,F327)-IF(G327="",0,G327))</x:f>
      </x:c>
      <x:c r="I327" s="42" t="str">
        <x:f>IF(H327="","",MAX(0,L327-H327))</x:f>
      </x:c>
      <x:c r="J327" t="str">
        <x:f>IF(H327="","UNKNOWN - inventory not entered",IF(H327&lt;=D327,"REORDER NOW",IF(H327&lt;=1.2*D327,"WATCH","OK")))</x:f>
        <x:v>UNKNOWN - inventory not entered</x:v>
      </x:c>
      <x:c r="K327" t="str">
        <x:v>Medium</x:v>
      </x:c>
      <x:c r="L327" t="n">
        <x:v>706</x:v>
      </x:c>
    </x:row>
    <x:row r="328">
      <x:c r="A328" t="n">
        <x:v>5</x:v>
      </x:c>
      <x:c r="B328" t="n">
        <x:v>43</x:v>
      </x:c>
      <x:c r="C328" t="str">
        <x:v>A</x:v>
      </x:c>
      <x:c r="D328" s="42" t="n">
        <x:v>481</x:v>
      </x:c>
      <x:c r="E328" s="44"/>
      <x:c r="F328" s="44"/>
      <x:c r="G328" s="44"/>
      <x:c r="H328" s="42" t="str">
        <x:f>IF(COUNT(E328:G328)=0,"",E328+IF(F328="",0,F328)-IF(G328="",0,G328))</x:f>
      </x:c>
      <x:c r="I328" s="42" t="str">
        <x:f>IF(H328="","",MAX(0,L328-H328))</x:f>
      </x:c>
      <x:c r="J328" t="str">
        <x:f>IF(H328="","UNKNOWN - inventory not entered",IF(H328&lt;=D328,"REORDER NOW",IF(H328&lt;=1.2*D328,"WATCH","OK")))</x:f>
        <x:v>UNKNOWN - inventory not entered</x:v>
      </x:c>
      <x:c r="K328" t="str">
        <x:v>Medium</x:v>
      </x:c>
      <x:c r="L328" t="n">
        <x:v>676</x:v>
      </x:c>
    </x:row>
    <x:row r="329">
      <x:c r="A329" t="n">
        <x:v>4</x:v>
      </x:c>
      <x:c r="B329" t="n">
        <x:v>42</x:v>
      </x:c>
      <x:c r="C329" t="str">
        <x:v>B</x:v>
      </x:c>
      <x:c r="D329" s="42" t="n">
        <x:v>460</x:v>
      </x:c>
      <x:c r="E329" s="44"/>
      <x:c r="F329" s="44"/>
      <x:c r="G329" s="44"/>
      <x:c r="H329" s="42" t="str">
        <x:f>IF(COUNT(E329:G329)=0,"",E329+IF(F329="",0,F329)-IF(G329="",0,G329))</x:f>
      </x:c>
      <x:c r="I329" s="42" t="str">
        <x:f>IF(H329="","",MAX(0,L329-H329))</x:f>
      </x:c>
      <x:c r="J329" t="str">
        <x:f>IF(H329="","UNKNOWN - inventory not entered",IF(H329&lt;=D329,"REORDER NOW",IF(H329&lt;=1.2*D329,"WATCH","OK")))</x:f>
        <x:v>UNKNOWN - inventory not entered</x:v>
      </x:c>
      <x:c r="K329" t="str">
        <x:v>Medium</x:v>
      </x:c>
      <x:c r="L329" t="n">
        <x:v>683</x:v>
      </x:c>
    </x:row>
    <x:row r="330">
      <x:c r="A330" t="n">
        <x:v>6</x:v>
      </x:c>
      <x:c r="B330" t="n">
        <x:v>48</x:v>
      </x:c>
      <x:c r="C330" t="str">
        <x:v>A</x:v>
      </x:c>
      <x:c r="D330" s="42" t="n">
        <x:v>457</x:v>
      </x:c>
      <x:c r="E330" s="44"/>
      <x:c r="F330" s="44"/>
      <x:c r="G330" s="44"/>
      <x:c r="H330" s="42" t="str">
        <x:f>IF(COUNT(E330:G330)=0,"",E330+IF(F330="",0,F330)-IF(G330="",0,G330))</x:f>
      </x:c>
      <x:c r="I330" s="42" t="str">
        <x:f>IF(H330="","",MAX(0,L330-H330))</x:f>
      </x:c>
      <x:c r="J330" t="str">
        <x:f>IF(H330="","UNKNOWN - inventory not entered",IF(H330&lt;=D330,"REORDER NOW",IF(H330&lt;=1.2*D330,"WATCH","OK")))</x:f>
        <x:v>UNKNOWN - inventory not entered</x:v>
      </x:c>
      <x:c r="K330" t="str">
        <x:v>Medium</x:v>
      </x:c>
      <x:c r="L330" t="n">
        <x:v>670</x:v>
      </x:c>
    </x:row>
    <x:row r="331">
      <x:c r="A331" t="n">
        <x:v>3</x:v>
      </x:c>
      <x:c r="B331" t="n">
        <x:v>17</x:v>
      </x:c>
      <x:c r="C331" t="str">
        <x:v>B</x:v>
      </x:c>
      <x:c r="D331" s="42" t="n">
        <x:v>473</x:v>
      </x:c>
      <x:c r="E331" s="44"/>
      <x:c r="F331" s="44"/>
      <x:c r="G331" s="44"/>
      <x:c r="H331" s="42" t="str">
        <x:f>IF(COUNT(E331:G331)=0,"",E331+IF(F331="",0,F331)-IF(G331="",0,G331))</x:f>
      </x:c>
      <x:c r="I331" s="42" t="str">
        <x:f>IF(H331="","",MAX(0,L331-H331))</x:f>
      </x:c>
      <x:c r="J331" t="str">
        <x:f>IF(H331="","UNKNOWN - inventory not entered",IF(H331&lt;=D331,"REORDER NOW",IF(H331&lt;=1.2*D331,"WATCH","OK")))</x:f>
        <x:v>UNKNOWN - inventory not entered</x:v>
      </x:c>
      <x:c r="K331" t="str">
        <x:v>Medium</x:v>
      </x:c>
      <x:c r="L331" t="n">
        <x:v>702</x:v>
      </x:c>
    </x:row>
    <x:row r="332">
      <x:c r="A332" t="n">
        <x:v>2</x:v>
      </x:c>
      <x:c r="B332" t="n">
        <x:v>49</x:v>
      </x:c>
      <x:c r="C332" t="str">
        <x:v>B</x:v>
      </x:c>
      <x:c r="D332" s="42" t="n">
        <x:v>473</x:v>
      </x:c>
      <x:c r="E332" s="44"/>
      <x:c r="F332" s="44"/>
      <x:c r="G332" s="44"/>
      <x:c r="H332" s="42" t="str">
        <x:f>IF(COUNT(E332:G332)=0,"",E332+IF(F332="",0,F332)-IF(G332="",0,G332))</x:f>
      </x:c>
      <x:c r="I332" s="42" t="str">
        <x:f>IF(H332="","",MAX(0,L332-H332))</x:f>
      </x:c>
      <x:c r="J332" t="str">
        <x:f>IF(H332="","UNKNOWN - inventory not entered",IF(H332&lt;=D332,"REORDER NOW",IF(H332&lt;=1.2*D332,"WATCH","OK")))</x:f>
        <x:v>UNKNOWN - inventory not entered</x:v>
      </x:c>
      <x:c r="K332" t="str">
        <x:v>Medium</x:v>
      </x:c>
      <x:c r="L332" t="n">
        <x:v>678</x:v>
      </x:c>
    </x:row>
    <x:row r="333">
      <x:c r="A333" t="n">
        <x:v>9</x:v>
      </x:c>
      <x:c r="B333" t="n">
        <x:v>42</x:v>
      </x:c>
      <x:c r="C333" t="str">
        <x:v>B</x:v>
      </x:c>
      <x:c r="D333" s="42" t="n">
        <x:v>472</x:v>
      </x:c>
      <x:c r="E333" s="44"/>
      <x:c r="F333" s="44"/>
      <x:c r="G333" s="44"/>
      <x:c r="H333" s="42" t="str">
        <x:f>IF(COUNT(E333:G333)=0,"",E333+IF(F333="",0,F333)-IF(G333="",0,G333))</x:f>
      </x:c>
      <x:c r="I333" s="42" t="str">
        <x:f>IF(H333="","",MAX(0,L333-H333))</x:f>
      </x:c>
      <x:c r="J333" t="str">
        <x:f>IF(H333="","UNKNOWN - inventory not entered",IF(H333&lt;=D333,"REORDER NOW",IF(H333&lt;=1.2*D333,"WATCH","OK")))</x:f>
        <x:v>UNKNOWN - inventory not entered</x:v>
      </x:c>
      <x:c r="K333" t="str">
        <x:v>Medium</x:v>
      </x:c>
      <x:c r="L333" t="n">
        <x:v>687</x:v>
      </x:c>
    </x:row>
    <x:row r="334">
      <x:c r="A334" t="n">
        <x:v>2</x:v>
      </x:c>
      <x:c r="B334" t="n">
        <x:v>23</x:v>
      </x:c>
      <x:c r="C334" t="str">
        <x:v>B</x:v>
      </x:c>
      <x:c r="D334" s="42" t="n">
        <x:v>461</x:v>
      </x:c>
      <x:c r="E334" s="44"/>
      <x:c r="F334" s="44"/>
      <x:c r="G334" s="44"/>
      <x:c r="H334" s="42" t="str">
        <x:f>IF(COUNT(E334:G334)=0,"",E334+IF(F334="",0,F334)-IF(G334="",0,G334))</x:f>
      </x:c>
      <x:c r="I334" s="42" t="str">
        <x:f>IF(H334="","",MAX(0,L334-H334))</x:f>
      </x:c>
      <x:c r="J334" t="str">
        <x:f>IF(H334="","UNKNOWN - inventory not entered",IF(H334&lt;=D334,"REORDER NOW",IF(H334&lt;=1.2*D334,"WATCH","OK")))</x:f>
        <x:v>UNKNOWN - inventory not entered</x:v>
      </x:c>
      <x:c r="K334" t="str">
        <x:v>Medium</x:v>
      </x:c>
      <x:c r="L334" t="n">
        <x:v>678</x:v>
      </x:c>
    </x:row>
    <x:row r="335">
      <x:c r="A335" t="n">
        <x:v>2</x:v>
      </x:c>
      <x:c r="B335" t="n">
        <x:v>44</x:v>
      </x:c>
      <x:c r="C335" t="str">
        <x:v>B</x:v>
      </x:c>
      <x:c r="D335" s="42" t="n">
        <x:v>465</x:v>
      </x:c>
      <x:c r="E335" s="44"/>
      <x:c r="F335" s="44"/>
      <x:c r="G335" s="44"/>
      <x:c r="H335" s="42" t="str">
        <x:f>IF(COUNT(E335:G335)=0,"",E335+IF(F335="",0,F335)-IF(G335="",0,G335))</x:f>
      </x:c>
      <x:c r="I335" s="42" t="str">
        <x:f>IF(H335="","",MAX(0,L335-H335))</x:f>
      </x:c>
      <x:c r="J335" t="str">
        <x:f>IF(H335="","UNKNOWN - inventory not entered",IF(H335&lt;=D335,"REORDER NOW",IF(H335&lt;=1.2*D335,"WATCH","OK")))</x:f>
        <x:v>UNKNOWN - inventory not entered</x:v>
      </x:c>
      <x:c r="K335" t="str">
        <x:v>Medium</x:v>
      </x:c>
      <x:c r="L335" t="n">
        <x:v>667</x:v>
      </x:c>
    </x:row>
    <x:row r="336">
      <x:c r="A336" t="n">
        <x:v>5</x:v>
      </x:c>
      <x:c r="B336" t="n">
        <x:v>26</x:v>
      </x:c>
      <x:c r="C336" t="str">
        <x:v>A</x:v>
      </x:c>
      <x:c r="D336" s="42" t="n">
        <x:v>432</x:v>
      </x:c>
      <x:c r="E336" s="44"/>
      <x:c r="F336" s="44"/>
      <x:c r="G336" s="44"/>
      <x:c r="H336" s="42" t="str">
        <x:f>IF(COUNT(E336:G336)=0,"",E336+IF(F336="",0,F336)-IF(G336="",0,G336))</x:f>
      </x:c>
      <x:c r="I336" s="42" t="str">
        <x:f>IF(H336="","",MAX(0,L336-H336))</x:f>
      </x:c>
      <x:c r="J336" t="str">
        <x:f>IF(H336="","UNKNOWN - inventory not entered",IF(H336&lt;=D336,"REORDER NOW",IF(H336&lt;=1.2*D336,"WATCH","OK")))</x:f>
        <x:v>UNKNOWN - inventory not entered</x:v>
      </x:c>
      <x:c r="K336" t="str">
        <x:v>Medium</x:v>
      </x:c>
      <x:c r="L336" t="n">
        <x:v>647</x:v>
      </x:c>
    </x:row>
    <x:row r="337">
      <x:c r="A337" t="n">
        <x:v>10</x:v>
      </x:c>
      <x:c r="B337" t="n">
        <x:v>17</x:v>
      </x:c>
      <x:c r="C337" t="str">
        <x:v>B</x:v>
      </x:c>
      <x:c r="D337" s="42" t="n">
        <x:v>451</x:v>
      </x:c>
      <x:c r="E337" s="44"/>
      <x:c r="F337" s="44"/>
      <x:c r="G337" s="44"/>
      <x:c r="H337" s="42" t="str">
        <x:f>IF(COUNT(E337:G337)=0,"",E337+IF(F337="",0,F337)-IF(G337="",0,G337))</x:f>
      </x:c>
      <x:c r="I337" s="42" t="str">
        <x:f>IF(H337="","",MAX(0,L337-H337))</x:f>
      </x:c>
      <x:c r="J337" t="str">
        <x:f>IF(H337="","UNKNOWN - inventory not entered",IF(H337&lt;=D337,"REORDER NOW",IF(H337&lt;=1.2*D337,"WATCH","OK")))</x:f>
        <x:v>UNKNOWN - inventory not entered</x:v>
      </x:c>
      <x:c r="K337" t="str">
        <x:v>Medium</x:v>
      </x:c>
      <x:c r="L337" t="n">
        <x:v>643</x:v>
      </x:c>
    </x:row>
    <x:row r="338">
      <x:c r="A338" t="n">
        <x:v>2</x:v>
      </x:c>
      <x:c r="B338" t="n">
        <x:v>37</x:v>
      </x:c>
      <x:c r="C338" t="str">
        <x:v>B</x:v>
      </x:c>
      <x:c r="D338" s="42" t="n">
        <x:v>476</x:v>
      </x:c>
      <x:c r="E338" s="44"/>
      <x:c r="F338" s="44"/>
      <x:c r="G338" s="44"/>
      <x:c r="H338" s="42" t="str">
        <x:f>IF(COUNT(E338:G338)=0,"",E338+IF(F338="",0,F338)-IF(G338="",0,G338))</x:f>
      </x:c>
      <x:c r="I338" s="42" t="str">
        <x:f>IF(H338="","",MAX(0,L338-H338))</x:f>
      </x:c>
      <x:c r="J338" t="str">
        <x:f>IF(H338="","UNKNOWN - inventory not entered",IF(H338&lt;=D338,"REORDER NOW",IF(H338&lt;=1.2*D338,"WATCH","OK")))</x:f>
        <x:v>UNKNOWN - inventory not entered</x:v>
      </x:c>
      <x:c r="K338" t="str">
        <x:v>Medium</x:v>
      </x:c>
      <x:c r="L338" t="n">
        <x:v>681</x:v>
      </x:c>
    </x:row>
    <x:row r="339">
      <x:c r="A339" t="n">
        <x:v>7</x:v>
      </x:c>
      <x:c r="B339" t="n">
        <x:v>9</x:v>
      </x:c>
      <x:c r="C339" t="str">
        <x:v>A</x:v>
      </x:c>
      <x:c r="D339" s="42" t="n">
        <x:v>456</x:v>
      </x:c>
      <x:c r="E339" s="44"/>
      <x:c r="F339" s="44"/>
      <x:c r="G339" s="44"/>
      <x:c r="H339" s="42" t="str">
        <x:f>IF(COUNT(E339:G339)=0,"",E339+IF(F339="",0,F339)-IF(G339="",0,G339))</x:f>
      </x:c>
      <x:c r="I339" s="42" t="str">
        <x:f>IF(H339="","",MAX(0,L339-H339))</x:f>
      </x:c>
      <x:c r="J339" t="str">
        <x:f>IF(H339="","UNKNOWN - inventory not entered",IF(H339&lt;=D339,"REORDER NOW",IF(H339&lt;=1.2*D339,"WATCH","OK")))</x:f>
        <x:v>UNKNOWN - inventory not entered</x:v>
      </x:c>
      <x:c r="K339" t="str">
        <x:v>Medium</x:v>
      </x:c>
      <x:c r="L339" t="n">
        <x:v>667</x:v>
      </x:c>
    </x:row>
    <x:row r="340">
      <x:c r="A340" t="n">
        <x:v>2</x:v>
      </x:c>
      <x:c r="B340" t="n">
        <x:v>40</x:v>
      </x:c>
      <x:c r="C340" t="str">
        <x:v>B</x:v>
      </x:c>
      <x:c r="D340" s="42" t="n">
        <x:v>465</x:v>
      </x:c>
      <x:c r="E340" s="44"/>
      <x:c r="F340" s="44"/>
      <x:c r="G340" s="44"/>
      <x:c r="H340" s="42" t="str">
        <x:f>IF(COUNT(E340:G340)=0,"",E340+IF(F340="",0,F340)-IF(G340="",0,G340))</x:f>
      </x:c>
      <x:c r="I340" s="42" t="str">
        <x:f>IF(H340="","",MAX(0,L340-H340))</x:f>
      </x:c>
      <x:c r="J340" t="str">
        <x:f>IF(H340="","UNKNOWN - inventory not entered",IF(H340&lt;=D340,"REORDER NOW",IF(H340&lt;=1.2*D340,"WATCH","OK")))</x:f>
        <x:v>UNKNOWN - inventory not entered</x:v>
      </x:c>
      <x:c r="K340" t="str">
        <x:v>Medium</x:v>
      </x:c>
      <x:c r="L340" t="n">
        <x:v>675</x:v>
      </x:c>
    </x:row>
    <x:row r="341">
      <x:c r="A341" t="n">
        <x:v>7</x:v>
      </x:c>
      <x:c r="B341" t="n">
        <x:v>48</x:v>
      </x:c>
      <x:c r="C341" t="str">
        <x:v>A</x:v>
      </x:c>
      <x:c r="D341" s="42" t="n">
        <x:v>466</x:v>
      </x:c>
      <x:c r="E341" s="44"/>
      <x:c r="F341" s="44"/>
      <x:c r="G341" s="44"/>
      <x:c r="H341" s="42" t="str">
        <x:f>IF(COUNT(E341:G341)=0,"",E341+IF(F341="",0,F341)-IF(G341="",0,G341))</x:f>
      </x:c>
      <x:c r="I341" s="42" t="str">
        <x:f>IF(H341="","",MAX(0,L341-H341))</x:f>
      </x:c>
      <x:c r="J341" t="str">
        <x:f>IF(H341="","UNKNOWN - inventory not entered",IF(H341&lt;=D341,"REORDER NOW",IF(H341&lt;=1.2*D341,"WATCH","OK")))</x:f>
        <x:v>UNKNOWN - inventory not entered</x:v>
      </x:c>
      <x:c r="K341" t="str">
        <x:v>Medium</x:v>
      </x:c>
      <x:c r="L341" t="n">
        <x:v>671</x:v>
      </x:c>
    </x:row>
    <x:row r="342">
      <x:c r="A342" t="n">
        <x:v>8</x:v>
      </x:c>
      <x:c r="B342" t="n">
        <x:v>40</x:v>
      </x:c>
      <x:c r="C342" t="str">
        <x:v>B</x:v>
      </x:c>
      <x:c r="D342" s="42" t="n">
        <x:v>425</x:v>
      </x:c>
      <x:c r="E342" s="44"/>
      <x:c r="F342" s="44"/>
      <x:c r="G342" s="44"/>
      <x:c r="H342" s="42" t="str">
        <x:f>IF(COUNT(E342:G342)=0,"",E342+IF(F342="",0,F342)-IF(G342="",0,G342))</x:f>
      </x:c>
      <x:c r="I342" s="42" t="str">
        <x:f>IF(H342="","",MAX(0,L342-H342))</x:f>
      </x:c>
      <x:c r="J342" t="str">
        <x:f>IF(H342="","UNKNOWN - inventory not entered",IF(H342&lt;=D342,"REORDER NOW",IF(H342&lt;=1.2*D342,"WATCH","OK")))</x:f>
        <x:v>UNKNOWN - inventory not entered</x:v>
      </x:c>
      <x:c r="K342" t="str">
        <x:v>Medium</x:v>
      </x:c>
      <x:c r="L342" t="n">
        <x:v>624</x:v>
      </x:c>
    </x:row>
    <x:row r="343">
      <x:c r="A343" t="n">
        <x:v>6</x:v>
      </x:c>
      <x:c r="B343" t="n">
        <x:v>26</x:v>
      </x:c>
      <x:c r="C343" t="str">
        <x:v>A</x:v>
      </x:c>
      <x:c r="D343" s="42" t="n">
        <x:v>430</x:v>
      </x:c>
      <x:c r="E343" s="44"/>
      <x:c r="F343" s="44"/>
      <x:c r="G343" s="44"/>
      <x:c r="H343" s="42" t="str">
        <x:f>IF(COUNT(E343:G343)=0,"",E343+IF(F343="",0,F343)-IF(G343="",0,G343))</x:f>
      </x:c>
      <x:c r="I343" s="42" t="str">
        <x:f>IF(H343="","",MAX(0,L343-H343))</x:f>
      </x:c>
      <x:c r="J343" t="str">
        <x:f>IF(H343="","UNKNOWN - inventory not entered",IF(H343&lt;=D343,"REORDER NOW",IF(H343&lt;=1.2*D343,"WATCH","OK")))</x:f>
        <x:v>UNKNOWN - inventory not entered</x:v>
      </x:c>
      <x:c r="K343" t="str">
        <x:v>Medium</x:v>
      </x:c>
      <x:c r="L343" t="n">
        <x:v>674</x:v>
      </x:c>
    </x:row>
    <x:row r="344">
      <x:c r="A344" t="n">
        <x:v>8</x:v>
      </x:c>
      <x:c r="B344" t="n">
        <x:v>49</x:v>
      </x:c>
      <x:c r="C344" t="str">
        <x:v>B</x:v>
      </x:c>
      <x:c r="D344" s="42" t="n">
        <x:v>448</x:v>
      </x:c>
      <x:c r="E344" s="44"/>
      <x:c r="F344" s="44"/>
      <x:c r="G344" s="44"/>
      <x:c r="H344" s="42" t="str">
        <x:f>IF(COUNT(E344:G344)=0,"",E344+IF(F344="",0,F344)-IF(G344="",0,G344))</x:f>
      </x:c>
      <x:c r="I344" s="42" t="str">
        <x:f>IF(H344="","",MAX(0,L344-H344))</x:f>
      </x:c>
      <x:c r="J344" t="str">
        <x:f>IF(H344="","UNKNOWN - inventory not entered",IF(H344&lt;=D344,"REORDER NOW",IF(H344&lt;=1.2*D344,"WATCH","OK")))</x:f>
        <x:v>UNKNOWN - inventory not entered</x:v>
      </x:c>
      <x:c r="K344" t="str">
        <x:v>Medium</x:v>
      </x:c>
      <x:c r="L344" t="n">
        <x:v>655</x:v>
      </x:c>
    </x:row>
    <x:row r="345">
      <x:c r="A345" t="n">
        <x:v>1</x:v>
      </x:c>
      <x:c r="B345" t="n">
        <x:v>30</x:v>
      </x:c>
      <x:c r="C345" t="str">
        <x:v>B</x:v>
      </x:c>
      <x:c r="D345" s="42" t="n">
        <x:v>437</x:v>
      </x:c>
      <x:c r="E345" s="44"/>
      <x:c r="F345" s="44"/>
      <x:c r="G345" s="44"/>
      <x:c r="H345" s="42" t="str">
        <x:f>IF(COUNT(E345:G345)=0,"",E345+IF(F345="",0,F345)-IF(G345="",0,G345))</x:f>
      </x:c>
      <x:c r="I345" s="42" t="str">
        <x:f>IF(H345="","",MAX(0,L345-H345))</x:f>
      </x:c>
      <x:c r="J345" t="str">
        <x:f>IF(H345="","UNKNOWN - inventory not entered",IF(H345&lt;=D345,"REORDER NOW",IF(H345&lt;=1.2*D345,"WATCH","OK")))</x:f>
        <x:v>UNKNOWN - inventory not entered</x:v>
      </x:c>
      <x:c r="K345" t="str">
        <x:v>Medium</x:v>
      </x:c>
      <x:c r="L345" t="n">
        <x:v>636</x:v>
      </x:c>
    </x:row>
    <x:row r="346">
      <x:c r="A346" t="n">
        <x:v>8</x:v>
      </x:c>
      <x:c r="B346" t="n">
        <x:v>23</x:v>
      </x:c>
      <x:c r="C346" t="str">
        <x:v>B</x:v>
      </x:c>
      <x:c r="D346" s="42" t="n">
        <x:v>441</x:v>
      </x:c>
      <x:c r="E346" s="44"/>
      <x:c r="F346" s="44"/>
      <x:c r="G346" s="44"/>
      <x:c r="H346" s="42" t="str">
        <x:f>IF(COUNT(E346:G346)=0,"",E346+IF(F346="",0,F346)-IF(G346="",0,G346))</x:f>
      </x:c>
      <x:c r="I346" s="42" t="str">
        <x:f>IF(H346="","",MAX(0,L346-H346))</x:f>
      </x:c>
      <x:c r="J346" t="str">
        <x:f>IF(H346="","UNKNOWN - inventory not entered",IF(H346&lt;=D346,"REORDER NOW",IF(H346&lt;=1.2*D346,"WATCH","OK")))</x:f>
        <x:v>UNKNOWN - inventory not entered</x:v>
      </x:c>
      <x:c r="K346" t="str">
        <x:v>Medium</x:v>
      </x:c>
      <x:c r="L346" t="n">
        <x:v>681</x:v>
      </x:c>
    </x:row>
    <x:row r="347">
      <x:c r="A347" t="n">
        <x:v>1</x:v>
      </x:c>
      <x:c r="B347" t="n">
        <x:v>19</x:v>
      </x:c>
      <x:c r="C347" t="str">
        <x:v>B</x:v>
      </x:c>
      <x:c r="D347" s="42" t="n">
        <x:v>434</x:v>
      </x:c>
      <x:c r="E347" s="44"/>
      <x:c r="F347" s="44"/>
      <x:c r="G347" s="44"/>
      <x:c r="H347" s="42" t="str">
        <x:f>IF(COUNT(E347:G347)=0,"",E347+IF(F347="",0,F347)-IF(G347="",0,G347))</x:f>
      </x:c>
      <x:c r="I347" s="42" t="str">
        <x:f>IF(H347="","",MAX(0,L347-H347))</x:f>
      </x:c>
      <x:c r="J347" t="str">
        <x:f>IF(H347="","UNKNOWN - inventory not entered",IF(H347&lt;=D347,"REORDER NOW",IF(H347&lt;=1.2*D347,"WATCH","OK")))</x:f>
        <x:v>UNKNOWN - inventory not entered</x:v>
      </x:c>
      <x:c r="K347" t="str">
        <x:v>Medium</x:v>
      </x:c>
      <x:c r="L347" t="n">
        <x:v>655</x:v>
      </x:c>
    </x:row>
    <x:row r="348">
      <x:c r="A348" t="n">
        <x:v>8</x:v>
      </x:c>
      <x:c r="B348" t="n">
        <x:v>44</x:v>
      </x:c>
      <x:c r="C348" t="str">
        <x:v>B</x:v>
      </x:c>
      <x:c r="D348" s="42" t="n">
        <x:v>439</x:v>
      </x:c>
      <x:c r="E348" s="44"/>
      <x:c r="F348" s="44"/>
      <x:c r="G348" s="44"/>
      <x:c r="H348" s="42" t="str">
        <x:f>IF(COUNT(E348:G348)=0,"",E348+IF(F348="",0,F348)-IF(G348="",0,G348))</x:f>
      </x:c>
      <x:c r="I348" s="42" t="str">
        <x:f>IF(H348="","",MAX(0,L348-H348))</x:f>
      </x:c>
      <x:c r="J348" t="str">
        <x:f>IF(H348="","UNKNOWN - inventory not entered",IF(H348&lt;=D348,"REORDER NOW",IF(H348&lt;=1.2*D348,"WATCH","OK")))</x:f>
        <x:v>UNKNOWN - inventory not entered</x:v>
      </x:c>
      <x:c r="K348" t="str">
        <x:v>Medium</x:v>
      </x:c>
      <x:c r="L348" t="n">
        <x:v>649</x:v>
      </x:c>
    </x:row>
    <x:row r="349">
      <x:c r="A349" t="n">
        <x:v>8</x:v>
      </x:c>
      <x:c r="B349" t="n">
        <x:v>37</x:v>
      </x:c>
      <x:c r="C349" t="str">
        <x:v>B</x:v>
      </x:c>
      <x:c r="D349" s="42" t="n">
        <x:v>459</x:v>
      </x:c>
      <x:c r="E349" s="44"/>
      <x:c r="F349" s="44"/>
      <x:c r="G349" s="44"/>
      <x:c r="H349" s="42" t="str">
        <x:f>IF(COUNT(E349:G349)=0,"",E349+IF(F349="",0,F349)-IF(G349="",0,G349))</x:f>
      </x:c>
      <x:c r="I349" s="42" t="str">
        <x:f>IF(H349="","",MAX(0,L349-H349))</x:f>
      </x:c>
      <x:c r="J349" t="str">
        <x:f>IF(H349="","UNKNOWN - inventory not entered",IF(H349&lt;=D349,"REORDER NOW",IF(H349&lt;=1.2*D349,"WATCH","OK")))</x:f>
        <x:v>UNKNOWN - inventory not entered</x:v>
      </x:c>
      <x:c r="K349" t="str">
        <x:v>Medium</x:v>
      </x:c>
      <x:c r="L349" t="n">
        <x:v>670</x:v>
      </x:c>
    </x:row>
    <x:row r="350">
      <x:c r="A350" t="n">
        <x:v>5</x:v>
      </x:c>
      <x:c r="B350" t="n">
        <x:v>20</x:v>
      </x:c>
      <x:c r="C350" t="str">
        <x:v>A</x:v>
      </x:c>
      <x:c r="D350" s="42" t="n">
        <x:v>436</x:v>
      </x:c>
      <x:c r="E350" s="44"/>
      <x:c r="F350" s="44"/>
      <x:c r="G350" s="44"/>
      <x:c r="H350" s="42" t="str">
        <x:f>IF(COUNT(E350:G350)=0,"",E350+IF(F350="",0,F350)-IF(G350="",0,G350))</x:f>
      </x:c>
      <x:c r="I350" s="42" t="str">
        <x:f>IF(H350="","",MAX(0,L350-H350))</x:f>
      </x:c>
      <x:c r="J350" t="str">
        <x:f>IF(H350="","UNKNOWN - inventory not entered",IF(H350&lt;=D350,"REORDER NOW",IF(H350&lt;=1.2*D350,"WATCH","OK")))</x:f>
        <x:v>UNKNOWN - inventory not entered</x:v>
      </x:c>
      <x:c r="K350" t="str">
        <x:v>Medium</x:v>
      </x:c>
      <x:c r="L350" t="n">
        <x:v>635</x:v>
      </x:c>
    </x:row>
    <x:row r="351">
      <x:c r="A351" t="n">
        <x:v>7</x:v>
      </x:c>
      <x:c r="B351" t="n">
        <x:v>43</x:v>
      </x:c>
      <x:c r="C351" t="str">
        <x:v>A</x:v>
      </x:c>
      <x:c r="D351" s="42" t="n">
        <x:v>461</x:v>
      </x:c>
      <x:c r="E351" s="44"/>
      <x:c r="F351" s="44"/>
      <x:c r="G351" s="44"/>
      <x:c r="H351" s="42" t="str">
        <x:f>IF(COUNT(E351:G351)=0,"",E351+IF(F351="",0,F351)-IF(G351="",0,G351))</x:f>
      </x:c>
      <x:c r="I351" s="42" t="str">
        <x:f>IF(H351="","",MAX(0,L351-H351))</x:f>
      </x:c>
      <x:c r="J351" t="str">
        <x:f>IF(H351="","UNKNOWN - inventory not entered",IF(H351&lt;=D351,"REORDER NOW",IF(H351&lt;=1.2*D351,"WATCH","OK")))</x:f>
        <x:v>UNKNOWN - inventory not entered</x:v>
      </x:c>
      <x:c r="K351" t="str">
        <x:v>Medium</x:v>
      </x:c>
      <x:c r="L351" t="n">
        <x:v>665</x:v>
      </x:c>
    </x:row>
    <x:row r="352">
      <x:c r="A352" t="n">
        <x:v>6</x:v>
      </x:c>
      <x:c r="B352" t="n">
        <x:v>20</x:v>
      </x:c>
      <x:c r="C352" t="str">
        <x:v>A</x:v>
      </x:c>
      <x:c r="D352" s="42" t="n">
        <x:v>419</x:v>
      </x:c>
      <x:c r="E352" s="44"/>
      <x:c r="F352" s="44"/>
      <x:c r="G352" s="44"/>
      <x:c r="H352" s="42" t="str">
        <x:f>IF(COUNT(E352:G352)=0,"",E352+IF(F352="",0,F352)-IF(G352="",0,G352))</x:f>
      </x:c>
      <x:c r="I352" s="42" t="str">
        <x:f>IF(H352="","",MAX(0,L352-H352))</x:f>
      </x:c>
      <x:c r="J352" t="str">
        <x:f>IF(H352="","UNKNOWN - inventory not entered",IF(H352&lt;=D352,"REORDER NOW",IF(H352&lt;=1.2*D352,"WATCH","OK")))</x:f>
        <x:v>UNKNOWN - inventory not entered</x:v>
      </x:c>
      <x:c r="K352" t="str">
        <x:v>Medium</x:v>
      </x:c>
      <x:c r="L352" t="n">
        <x:v>604</x:v>
      </x:c>
    </x:row>
    <x:row r="353">
      <x:c r="A353" t="n">
        <x:v>4</x:v>
      </x:c>
      <x:c r="B353" t="n">
        <x:v>17</x:v>
      </x:c>
      <x:c r="C353" t="str">
        <x:v>B</x:v>
      </x:c>
      <x:c r="D353" s="42" t="n">
        <x:v>450</x:v>
      </x:c>
      <x:c r="E353" s="44"/>
      <x:c r="F353" s="44"/>
      <x:c r="G353" s="44"/>
      <x:c r="H353" s="42" t="str">
        <x:f>IF(COUNT(E353:G353)=0,"",E353+IF(F353="",0,F353)-IF(G353="",0,G353))</x:f>
      </x:c>
      <x:c r="I353" s="42" t="str">
        <x:f>IF(H353="","",MAX(0,L353-H353))</x:f>
      </x:c>
      <x:c r="J353" t="str">
        <x:f>IF(H353="","UNKNOWN - inventory not entered",IF(H353&lt;=D353,"REORDER NOW",IF(H353&lt;=1.2*D353,"WATCH","OK")))</x:f>
        <x:v>UNKNOWN - inventory not entered</x:v>
      </x:c>
      <x:c r="K353" t="str">
        <x:v>Medium</x:v>
      </x:c>
      <x:c r="L353" t="n">
        <x:v>646</x:v>
      </x:c>
    </x:row>
    <x:row r="354">
      <x:c r="A354" t="n">
        <x:v>1</x:v>
      </x:c>
      <x:c r="B354" t="n">
        <x:v>21</x:v>
      </x:c>
      <x:c r="C354" t="str">
        <x:v>B</x:v>
      </x:c>
      <x:c r="D354" s="42" t="n">
        <x:v>413</x:v>
      </x:c>
      <x:c r="E354" s="44"/>
      <x:c r="F354" s="44"/>
      <x:c r="G354" s="44"/>
      <x:c r="H354" s="42" t="str">
        <x:f>IF(COUNT(E354:G354)=0,"",E354+IF(F354="",0,F354)-IF(G354="",0,G354))</x:f>
      </x:c>
      <x:c r="I354" s="42" t="str">
        <x:f>IF(H354="","",MAX(0,L354-H354))</x:f>
      </x:c>
      <x:c r="J354" t="str">
        <x:f>IF(H354="","UNKNOWN - inventory not entered",IF(H354&lt;=D354,"REORDER NOW",IF(H354&lt;=1.2*D354,"WATCH","OK")))</x:f>
        <x:v>UNKNOWN - inventory not entered</x:v>
      </x:c>
      <x:c r="K354" t="str">
        <x:v>Medium</x:v>
      </x:c>
      <x:c r="L354" t="n">
        <x:v>631</x:v>
      </x:c>
    </x:row>
    <x:row r="355">
      <x:c r="A355" t="n">
        <x:v>9</x:v>
      </x:c>
      <x:c r="B355" t="n">
        <x:v>17</x:v>
      </x:c>
      <x:c r="C355" t="str">
        <x:v>B</x:v>
      </x:c>
      <x:c r="D355" s="42" t="n">
        <x:v>432</x:v>
      </x:c>
      <x:c r="E355" s="44"/>
      <x:c r="F355" s="44"/>
      <x:c r="G355" s="44"/>
      <x:c r="H355" s="42" t="str">
        <x:f>IF(COUNT(E355:G355)=0,"",E355+IF(F355="",0,F355)-IF(G355="",0,G355))</x:f>
      </x:c>
      <x:c r="I355" s="42" t="str">
        <x:f>IF(H355="","",MAX(0,L355-H355))</x:f>
      </x:c>
      <x:c r="J355" t="str">
        <x:f>IF(H355="","UNKNOWN - inventory not entered",IF(H355&lt;=D355,"REORDER NOW",IF(H355&lt;=1.2*D355,"WATCH","OK")))</x:f>
        <x:v>UNKNOWN - inventory not entered</x:v>
      </x:c>
      <x:c r="K355" t="str">
        <x:v>Lower</x:v>
      </x:c>
      <x:c r="L355" t="n">
        <x:v>641</x:v>
      </x:c>
    </x:row>
    <x:row r="356">
      <x:c r="A356" t="n">
        <x:v>3</x:v>
      </x:c>
      <x:c r="B356" t="n">
        <x:v>37</x:v>
      </x:c>
      <x:c r="C356" t="str">
        <x:v>B</x:v>
      </x:c>
      <x:c r="D356" s="42" t="n">
        <x:v>425</x:v>
      </x:c>
      <x:c r="E356" s="44"/>
      <x:c r="F356" s="44"/>
      <x:c r="G356" s="44"/>
      <x:c r="H356" s="42" t="str">
        <x:f>IF(COUNT(E356:G356)=0,"",E356+IF(F356="",0,F356)-IF(G356="",0,G356))</x:f>
      </x:c>
      <x:c r="I356" s="42" t="str">
        <x:f>IF(H356="","",MAX(0,L356-H356))</x:f>
      </x:c>
      <x:c r="J356" t="str">
        <x:f>IF(H356="","UNKNOWN - inventory not entered",IF(H356&lt;=D356,"REORDER NOW",IF(H356&lt;=1.2*D356,"WATCH","OK")))</x:f>
        <x:v>UNKNOWN - inventory not entered</x:v>
      </x:c>
      <x:c r="K356" t="str">
        <x:v>Lower</x:v>
      </x:c>
      <x:c r="L356" t="n">
        <x:v>640</x:v>
      </x:c>
    </x:row>
    <x:row r="357">
      <x:c r="A357" t="n">
        <x:v>3</x:v>
      </x:c>
      <x:c r="B357" t="n">
        <x:v>49</x:v>
      </x:c>
      <x:c r="C357" t="str">
        <x:v>B</x:v>
      </x:c>
      <x:c r="D357" s="42" t="n">
        <x:v>448</x:v>
      </x:c>
      <x:c r="E357" s="44"/>
      <x:c r="F357" s="44"/>
      <x:c r="G357" s="44"/>
      <x:c r="H357" s="42" t="str">
        <x:f>IF(COUNT(E357:G357)=0,"",E357+IF(F357="",0,F357)-IF(G357="",0,G357))</x:f>
      </x:c>
      <x:c r="I357" s="42" t="str">
        <x:f>IF(H357="","",MAX(0,L357-H357))</x:f>
      </x:c>
      <x:c r="J357" t="str">
        <x:f>IF(H357="","UNKNOWN - inventory not entered",IF(H357&lt;=D357,"REORDER NOW",IF(H357&lt;=1.2*D357,"WATCH","OK")))</x:f>
        <x:v>UNKNOWN - inventory not entered</x:v>
      </x:c>
      <x:c r="K357" t="str">
        <x:v>Lower</x:v>
      </x:c>
      <x:c r="L357" t="n">
        <x:v>648</x:v>
      </x:c>
    </x:row>
    <x:row r="358">
      <x:c r="A358" t="n">
        <x:v>10</x:v>
      </x:c>
      <x:c r="B358" t="n">
        <x:v>37</x:v>
      </x:c>
      <x:c r="C358" t="str">
        <x:v>B</x:v>
      </x:c>
      <x:c r="D358" s="42" t="n">
        <x:v>447</x:v>
      </x:c>
      <x:c r="E358" s="44"/>
      <x:c r="F358" s="44"/>
      <x:c r="G358" s="44"/>
      <x:c r="H358" s="42" t="str">
        <x:f>IF(COUNT(E358:G358)=0,"",E358+IF(F358="",0,F358)-IF(G358="",0,G358))</x:f>
      </x:c>
      <x:c r="I358" s="42" t="str">
        <x:f>IF(H358="","",MAX(0,L358-H358))</x:f>
      </x:c>
      <x:c r="J358" t="str">
        <x:f>IF(H358="","UNKNOWN - inventory not entered",IF(H358&lt;=D358,"REORDER NOW",IF(H358&lt;=1.2*D358,"WATCH","OK")))</x:f>
        <x:v>UNKNOWN - inventory not entered</x:v>
      </x:c>
      <x:c r="K358" t="str">
        <x:v>Lower</x:v>
      </x:c>
      <x:c r="L358" t="n">
        <x:v>618</x:v>
      </x:c>
    </x:row>
    <x:row r="359">
      <x:c r="A359" t="n">
        <x:v>2</x:v>
      </x:c>
      <x:c r="B359" t="n">
        <x:v>16</x:v>
      </x:c>
      <x:c r="C359" t="str">
        <x:v>C</x:v>
      </x:c>
      <x:c r="D359" s="42" t="n">
        <x:v>381</x:v>
      </x:c>
      <x:c r="E359" s="44"/>
      <x:c r="F359" s="44"/>
      <x:c r="G359" s="44"/>
      <x:c r="H359" s="42" t="str">
        <x:f>IF(COUNT(E359:G359)=0,"",E359+IF(F359="",0,F359)-IF(G359="",0,G359))</x:f>
      </x:c>
      <x:c r="I359" s="42" t="str">
        <x:f>IF(H359="","",MAX(0,L359-H359))</x:f>
      </x:c>
      <x:c r="J359" t="str">
        <x:f>IF(H359="","UNKNOWN - inventory not entered",IF(H359&lt;=D359,"REORDER NOW",IF(H359&lt;=1.2*D359,"WATCH","OK")))</x:f>
        <x:v>UNKNOWN - inventory not entered</x:v>
      </x:c>
      <x:c r="K359" t="str">
        <x:v>Lower</x:v>
      </x:c>
      <x:c r="L359" t="n">
        <x:v>595</x:v>
      </x:c>
    </x:row>
    <x:row r="360">
      <x:c r="A360" t="n">
        <x:v>7</x:v>
      </x:c>
      <x:c r="B360" t="n">
        <x:v>20</x:v>
      </x:c>
      <x:c r="C360" t="str">
        <x:v>A</x:v>
      </x:c>
      <x:c r="D360" s="42" t="n">
        <x:v>431</x:v>
      </x:c>
      <x:c r="E360" s="44"/>
      <x:c r="F360" s="44"/>
      <x:c r="G360" s="44"/>
      <x:c r="H360" s="42" t="str">
        <x:f>IF(COUNT(E360:G360)=0,"",E360+IF(F360="",0,F360)-IF(G360="",0,G360))</x:f>
      </x:c>
      <x:c r="I360" s="42" t="str">
        <x:f>IF(H360="","",MAX(0,L360-H360))</x:f>
      </x:c>
      <x:c r="J360" t="str">
        <x:f>IF(H360="","UNKNOWN - inventory not entered",IF(H360&lt;=D360,"REORDER NOW",IF(H360&lt;=1.2*D360,"WATCH","OK")))</x:f>
        <x:v>UNKNOWN - inventory not entered</x:v>
      </x:c>
      <x:c r="K360" t="str">
        <x:v>Lower</x:v>
      </x:c>
      <x:c r="L360" t="n">
        <x:v>609</x:v>
      </x:c>
    </x:row>
    <x:row r="361">
      <x:c r="A361" t="n">
        <x:v>1</x:v>
      </x:c>
      <x:c r="B361" t="n">
        <x:v>42</x:v>
      </x:c>
      <x:c r="C361" t="str">
        <x:v>B</x:v>
      </x:c>
      <x:c r="D361" s="42" t="n">
        <x:v>394</x:v>
      </x:c>
      <x:c r="E361" s="44"/>
      <x:c r="F361" s="44"/>
      <x:c r="G361" s="44"/>
      <x:c r="H361" s="42" t="str">
        <x:f>IF(COUNT(E361:G361)=0,"",E361+IF(F361="",0,F361)-IF(G361="",0,G361))</x:f>
      </x:c>
      <x:c r="I361" s="42" t="str">
        <x:f>IF(H361="","",MAX(0,L361-H361))</x:f>
      </x:c>
      <x:c r="J361" t="str">
        <x:f>IF(H361="","UNKNOWN - inventory not entered",IF(H361&lt;=D361,"REORDER NOW",IF(H361&lt;=1.2*D361,"WATCH","OK")))</x:f>
        <x:v>UNKNOWN - inventory not entered</x:v>
      </x:c>
      <x:c r="K361" t="str">
        <x:v>Lower</x:v>
      </x:c>
      <x:c r="L361" t="n">
        <x:v>576</x:v>
      </x:c>
    </x:row>
    <x:row r="362">
      <x:c r="A362" t="n">
        <x:v>3</x:v>
      </x:c>
      <x:c r="B362" t="n">
        <x:v>40</x:v>
      </x:c>
      <x:c r="C362" t="str">
        <x:v>B</x:v>
      </x:c>
      <x:c r="D362" s="42" t="n">
        <x:v>437</x:v>
      </x:c>
      <x:c r="E362" s="44"/>
      <x:c r="F362" s="44"/>
      <x:c r="G362" s="44"/>
      <x:c r="H362" s="42" t="str">
        <x:f>IF(COUNT(E362:G362)=0,"",E362+IF(F362="",0,F362)-IF(G362="",0,G362))</x:f>
      </x:c>
      <x:c r="I362" s="42" t="str">
        <x:f>IF(H362="","",MAX(0,L362-H362))</x:f>
      </x:c>
      <x:c r="J362" t="str">
        <x:f>IF(H362="","UNKNOWN - inventory not entered",IF(H362&lt;=D362,"REORDER NOW",IF(H362&lt;=1.2*D362,"WATCH","OK")))</x:f>
        <x:v>UNKNOWN - inventory not entered</x:v>
      </x:c>
      <x:c r="K362" t="str">
        <x:v>Lower</x:v>
      </x:c>
      <x:c r="L362" t="n">
        <x:v>623</x:v>
      </x:c>
    </x:row>
    <x:row r="363">
      <x:c r="A363" t="n">
        <x:v>3</x:v>
      </x:c>
      <x:c r="B363" t="n">
        <x:v>23</x:v>
      </x:c>
      <x:c r="C363" t="str">
        <x:v>B</x:v>
      </x:c>
      <x:c r="D363" s="42" t="n">
        <x:v>413</x:v>
      </x:c>
      <x:c r="E363" s="44"/>
      <x:c r="F363" s="44"/>
      <x:c r="G363" s="44"/>
      <x:c r="H363" s="42" t="str">
        <x:f>IF(COUNT(E363:G363)=0,"",E363+IF(F363="",0,F363)-IF(G363="",0,G363))</x:f>
      </x:c>
      <x:c r="I363" s="42" t="str">
        <x:f>IF(H363="","",MAX(0,L363-H363))</x:f>
      </x:c>
      <x:c r="J363" t="str">
        <x:f>IF(H363="","UNKNOWN - inventory not entered",IF(H363&lt;=D363,"REORDER NOW",IF(H363&lt;=1.2*D363,"WATCH","OK")))</x:f>
        <x:v>UNKNOWN - inventory not entered</x:v>
      </x:c>
      <x:c r="K363" t="str">
        <x:v>Lower</x:v>
      </x:c>
      <x:c r="L363" t="n">
        <x:v>590</x:v>
      </x:c>
    </x:row>
    <x:row r="364">
      <x:c r="A364" t="n">
        <x:v>5</x:v>
      </x:c>
      <x:c r="B364" t="n">
        <x:v>32</x:v>
      </x:c>
      <x:c r="C364" t="str">
        <x:v>A</x:v>
      </x:c>
      <x:c r="D364" s="42" t="n">
        <x:v>416</x:v>
      </x:c>
      <x:c r="E364" s="44"/>
      <x:c r="F364" s="44"/>
      <x:c r="G364" s="44"/>
      <x:c r="H364" s="42" t="str">
        <x:f>IF(COUNT(E364:G364)=0,"",E364+IF(F364="",0,F364)-IF(G364="",0,G364))</x:f>
      </x:c>
      <x:c r="I364" s="42" t="str">
        <x:f>IF(H364="","",MAX(0,L364-H364))</x:f>
      </x:c>
      <x:c r="J364" t="str">
        <x:f>IF(H364="","UNKNOWN - inventory not entered",IF(H364&lt;=D364,"REORDER NOW",IF(H364&lt;=1.2*D364,"WATCH","OK")))</x:f>
        <x:v>UNKNOWN - inventory not entered</x:v>
      </x:c>
      <x:c r="K364" t="str">
        <x:v>Lower</x:v>
      </x:c>
      <x:c r="L364" t="n">
        <x:v>599</x:v>
      </x:c>
    </x:row>
    <x:row r="365">
      <x:c r="A365" t="n">
        <x:v>6</x:v>
      </x:c>
      <x:c r="B365" t="n">
        <x:v>32</x:v>
      </x:c>
      <x:c r="C365" t="str">
        <x:v>A</x:v>
      </x:c>
      <x:c r="D365" s="42" t="n">
        <x:v>419</x:v>
      </x:c>
      <x:c r="E365" s="44"/>
      <x:c r="F365" s="44"/>
      <x:c r="G365" s="44"/>
      <x:c r="H365" s="42" t="str">
        <x:f>IF(COUNT(E365:G365)=0,"",E365+IF(F365="",0,F365)-IF(G365="",0,G365))</x:f>
      </x:c>
      <x:c r="I365" s="42" t="str">
        <x:f>IF(H365="","",MAX(0,L365-H365))</x:f>
      </x:c>
      <x:c r="J365" t="str">
        <x:f>IF(H365="","UNKNOWN - inventory not entered",IF(H365&lt;=D365,"REORDER NOW",IF(H365&lt;=1.2*D365,"WATCH","OK")))</x:f>
        <x:v>UNKNOWN - inventory not entered</x:v>
      </x:c>
      <x:c r="K365" t="str">
        <x:v>Lower</x:v>
      </x:c>
      <x:c r="L365" t="n">
        <x:v>597</x:v>
      </x:c>
    </x:row>
    <x:row r="366">
      <x:c r="A366" t="n">
        <x:v>10</x:v>
      </x:c>
      <x:c r="B366" t="n">
        <x:v>40</x:v>
      </x:c>
      <x:c r="C366" t="str">
        <x:v>B</x:v>
      </x:c>
      <x:c r="D366" s="42" t="n">
        <x:v>426</x:v>
      </x:c>
      <x:c r="E366" s="44"/>
      <x:c r="F366" s="44"/>
      <x:c r="G366" s="44"/>
      <x:c r="H366" s="42" t="str">
        <x:f>IF(COUNT(E366:G366)=0,"",E366+IF(F366="",0,F366)-IF(G366="",0,G366))</x:f>
      </x:c>
      <x:c r="I366" s="42" t="str">
        <x:f>IF(H366="","",MAX(0,L366-H366))</x:f>
      </x:c>
      <x:c r="J366" t="str">
        <x:f>IF(H366="","UNKNOWN - inventory not entered",IF(H366&lt;=D366,"REORDER NOW",IF(H366&lt;=1.2*D366,"WATCH","OK")))</x:f>
        <x:v>UNKNOWN - inventory not entered</x:v>
      </x:c>
      <x:c r="K366" t="str">
        <x:v>Lower</x:v>
      </x:c>
      <x:c r="L366" t="n">
        <x:v>617</x:v>
      </x:c>
    </x:row>
    <x:row r="367">
      <x:c r="A367" t="n">
        <x:v>6</x:v>
      </x:c>
      <x:c r="B367" t="n">
        <x:v>39</x:v>
      </x:c>
      <x:c r="C367" t="str">
        <x:v>A</x:v>
      </x:c>
      <x:c r="D367" s="42" t="n">
        <x:v>402</x:v>
      </x:c>
      <x:c r="E367" s="44"/>
      <x:c r="F367" s="44"/>
      <x:c r="G367" s="44"/>
      <x:c r="H367" s="42" t="str">
        <x:f>IF(COUNT(E367:G367)=0,"",E367+IF(F367="",0,F367)-IF(G367="",0,G367))</x:f>
      </x:c>
      <x:c r="I367" s="42" t="str">
        <x:f>IF(H367="","",MAX(0,L367-H367))</x:f>
      </x:c>
      <x:c r="J367" t="str">
        <x:f>IF(H367="","UNKNOWN - inventory not entered",IF(H367&lt;=D367,"REORDER NOW",IF(H367&lt;=1.2*D367,"WATCH","OK")))</x:f>
        <x:v>UNKNOWN - inventory not entered</x:v>
      </x:c>
      <x:c r="K367" t="str">
        <x:v>Lower</x:v>
      </x:c>
      <x:c r="L367" t="n">
        <x:v>596</x:v>
      </x:c>
    </x:row>
    <x:row r="368">
      <x:c r="A368" t="n">
        <x:v>2</x:v>
      </x:c>
      <x:c r="B368" t="n">
        <x:v>34</x:v>
      </x:c>
      <x:c r="C368" t="str">
        <x:v>B</x:v>
      </x:c>
      <x:c r="D368" s="42" t="n">
        <x:v>408</x:v>
      </x:c>
      <x:c r="E368" s="44"/>
      <x:c r="F368" s="44"/>
      <x:c r="G368" s="44"/>
      <x:c r="H368" s="42" t="str">
        <x:f>IF(COUNT(E368:G368)=0,"",E368+IF(F368="",0,F368)-IF(G368="",0,G368))</x:f>
      </x:c>
      <x:c r="I368" s="42" t="str">
        <x:f>IF(H368="","",MAX(0,L368-H368))</x:f>
      </x:c>
      <x:c r="J368" t="str">
        <x:f>IF(H368="","UNKNOWN - inventory not entered",IF(H368&lt;=D368,"REORDER NOW",IF(H368&lt;=1.2*D368,"WATCH","OK")))</x:f>
        <x:v>UNKNOWN - inventory not entered</x:v>
      </x:c>
      <x:c r="K368" t="str">
        <x:v>Lower</x:v>
      </x:c>
      <x:c r="L368" t="n">
        <x:v>594</x:v>
      </x:c>
    </x:row>
    <x:row r="369">
      <x:c r="A369" t="n">
        <x:v>5</x:v>
      </x:c>
      <x:c r="B369" t="n">
        <x:v>39</x:v>
      </x:c>
      <x:c r="C369" t="str">
        <x:v>A</x:v>
      </x:c>
      <x:c r="D369" s="42" t="n">
        <x:v>374</x:v>
      </x:c>
      <x:c r="E369" s="44"/>
      <x:c r="F369" s="44"/>
      <x:c r="G369" s="44"/>
      <x:c r="H369" s="42" t="str">
        <x:f>IF(COUNT(E369:G369)=0,"",E369+IF(F369="",0,F369)-IF(G369="",0,G369))</x:f>
      </x:c>
      <x:c r="I369" s="42" t="str">
        <x:f>IF(H369="","",MAX(0,L369-H369))</x:f>
      </x:c>
      <x:c r="J369" t="str">
        <x:f>IF(H369="","UNKNOWN - inventory not entered",IF(H369&lt;=D369,"REORDER NOW",IF(H369&lt;=1.2*D369,"WATCH","OK")))</x:f>
        <x:v>UNKNOWN - inventory not entered</x:v>
      </x:c>
      <x:c r="K369" t="str">
        <x:v>Lower</x:v>
      </x:c>
      <x:c r="L369" t="n">
        <x:v>573</x:v>
      </x:c>
    </x:row>
    <x:row r="370">
      <x:c r="A370" t="n">
        <x:v>10</x:v>
      </x:c>
      <x:c r="B370" t="n">
        <x:v>23</x:v>
      </x:c>
      <x:c r="C370" t="str">
        <x:v>B</x:v>
      </x:c>
      <x:c r="D370" s="42" t="n">
        <x:v>423</x:v>
      </x:c>
      <x:c r="E370" s="44"/>
      <x:c r="F370" s="44"/>
      <x:c r="G370" s="44"/>
      <x:c r="H370" s="42" t="str">
        <x:f>IF(COUNT(E370:G370)=0,"",E370+IF(F370="",0,F370)-IF(G370="",0,G370))</x:f>
      </x:c>
      <x:c r="I370" s="42" t="str">
        <x:f>IF(H370="","",MAX(0,L370-H370))</x:f>
      </x:c>
      <x:c r="J370" t="str">
        <x:f>IF(H370="","UNKNOWN - inventory not entered",IF(H370&lt;=D370,"REORDER NOW",IF(H370&lt;=1.2*D370,"WATCH","OK")))</x:f>
        <x:v>UNKNOWN - inventory not entered</x:v>
      </x:c>
      <x:c r="K370" t="str">
        <x:v>Lower</x:v>
      </x:c>
      <x:c r="L370" t="n">
        <x:v>615</x:v>
      </x:c>
    </x:row>
    <x:row r="371">
      <x:c r="A371" t="n">
        <x:v>7</x:v>
      </x:c>
      <x:c r="B371" t="n">
        <x:v>26</x:v>
      </x:c>
      <x:c r="C371" t="str">
        <x:v>A</x:v>
      </x:c>
      <x:c r="D371" s="42" t="n">
        <x:v>395</x:v>
      </x:c>
      <x:c r="E371" s="44"/>
      <x:c r="F371" s="44"/>
      <x:c r="G371" s="44"/>
      <x:c r="H371" s="42" t="str">
        <x:f>IF(COUNT(E371:G371)=0,"",E371+IF(F371="",0,F371)-IF(G371="",0,G371))</x:f>
      </x:c>
      <x:c r="I371" s="42" t="str">
        <x:f>IF(H371="","",MAX(0,L371-H371))</x:f>
      </x:c>
      <x:c r="J371" t="str">
        <x:f>IF(H371="","UNKNOWN - inventory not entered",IF(H371&lt;=D371,"REORDER NOW",IF(H371&lt;=1.2*D371,"WATCH","OK")))</x:f>
        <x:v>UNKNOWN - inventory not entered</x:v>
      </x:c>
      <x:c r="K371" t="str">
        <x:v>Lower</x:v>
      </x:c>
      <x:c r="L371" t="n">
        <x:v>579</x:v>
      </x:c>
    </x:row>
    <x:row r="372">
      <x:c r="A372" t="n">
        <x:v>1</x:v>
      </x:c>
      <x:c r="B372" t="n">
        <x:v>3</x:v>
      </x:c>
      <x:c r="C372" t="str">
        <x:v>B</x:v>
      </x:c>
      <x:c r="D372" s="42" t="n">
        <x:v>399</x:v>
      </x:c>
      <x:c r="E372" s="44"/>
      <x:c r="F372" s="44"/>
      <x:c r="G372" s="44"/>
      <x:c r="H372" s="42" t="str">
        <x:f>IF(COUNT(E372:G372)=0,"",E372+IF(F372="",0,F372)-IF(G372="",0,G372))</x:f>
      </x:c>
      <x:c r="I372" s="42" t="str">
        <x:f>IF(H372="","",MAX(0,L372-H372))</x:f>
      </x:c>
      <x:c r="J372" t="str">
        <x:f>IF(H372="","UNKNOWN - inventory not entered",IF(H372&lt;=D372,"REORDER NOW",IF(H372&lt;=1.2*D372,"WATCH","OK")))</x:f>
        <x:v>UNKNOWN - inventory not entered</x:v>
      </x:c>
      <x:c r="K372" t="str">
        <x:v>Lower</x:v>
      </x:c>
      <x:c r="L372" t="n">
        <x:v>598</x:v>
      </x:c>
    </x:row>
    <x:row r="373">
      <x:c r="A373" t="n">
        <x:v>3</x:v>
      </x:c>
      <x:c r="B373" t="n">
        <x:v>44</x:v>
      </x:c>
      <x:c r="C373" t="str">
        <x:v>B</x:v>
      </x:c>
      <x:c r="D373" s="42" t="n">
        <x:v>403</x:v>
      </x:c>
      <x:c r="E373" s="44"/>
      <x:c r="F373" s="44"/>
      <x:c r="G373" s="44"/>
      <x:c r="H373" s="42" t="str">
        <x:f>IF(COUNT(E373:G373)=0,"",E373+IF(F373="",0,F373)-IF(G373="",0,G373))</x:f>
      </x:c>
      <x:c r="I373" s="42" t="str">
        <x:f>IF(H373="","",MAX(0,L373-H373))</x:f>
      </x:c>
      <x:c r="J373" t="str">
        <x:f>IF(H373="","UNKNOWN - inventory not entered",IF(H373&lt;=D373,"REORDER NOW",IF(H373&lt;=1.2*D373,"WATCH","OK")))</x:f>
        <x:v>UNKNOWN - inventory not entered</x:v>
      </x:c>
      <x:c r="K373" t="str">
        <x:v>Lower</x:v>
      </x:c>
      <x:c r="L373" t="n">
        <x:v>600</x:v>
      </x:c>
    </x:row>
    <x:row r="374">
      <x:c r="A374" t="n">
        <x:v>10</x:v>
      </x:c>
      <x:c r="B374" t="n">
        <x:v>49</x:v>
      </x:c>
      <x:c r="C374" t="str">
        <x:v>B</x:v>
      </x:c>
      <x:c r="D374" s="42" t="n">
        <x:v>400</x:v>
      </x:c>
      <x:c r="E374" s="44"/>
      <x:c r="F374" s="44"/>
      <x:c r="G374" s="44"/>
      <x:c r="H374" s="42" t="str">
        <x:f>IF(COUNT(E374:G374)=0,"",E374+IF(F374="",0,F374)-IF(G374="",0,G374))</x:f>
      </x:c>
      <x:c r="I374" s="42" t="str">
        <x:f>IF(H374="","",MAX(0,L374-H374))</x:f>
      </x:c>
      <x:c r="J374" t="str">
        <x:f>IF(H374="","UNKNOWN - inventory not entered",IF(H374&lt;=D374,"REORDER NOW",IF(H374&lt;=1.2*D374,"WATCH","OK")))</x:f>
        <x:v>UNKNOWN - inventory not entered</x:v>
      </x:c>
      <x:c r="K374" t="str">
        <x:v>Lower</x:v>
      </x:c>
      <x:c r="L374" t="n">
        <x:v>563</x:v>
      </x:c>
    </x:row>
    <x:row r="375">
      <x:c r="A375" t="n">
        <x:v>10</x:v>
      </x:c>
      <x:c r="B375" t="n">
        <x:v>44</x:v>
      </x:c>
      <x:c r="C375" t="str">
        <x:v>B</x:v>
      </x:c>
      <x:c r="D375" s="42" t="n">
        <x:v>402</x:v>
      </x:c>
      <x:c r="E375" s="44"/>
      <x:c r="F375" s="44"/>
      <x:c r="G375" s="44"/>
      <x:c r="H375" s="42" t="str">
        <x:f>IF(COUNT(E375:G375)=0,"",E375+IF(F375="",0,F375)-IF(G375="",0,G375))</x:f>
      </x:c>
      <x:c r="I375" s="42" t="str">
        <x:f>IF(H375="","",MAX(0,L375-H375))</x:f>
      </x:c>
      <x:c r="J375" t="str">
        <x:f>IF(H375="","UNKNOWN - inventory not entered",IF(H375&lt;=D375,"REORDER NOW",IF(H375&lt;=1.2*D375,"WATCH","OK")))</x:f>
        <x:v>UNKNOWN - inventory not entered</x:v>
      </x:c>
      <x:c r="K375" t="str">
        <x:v>Lower</x:v>
      </x:c>
      <x:c r="L375" t="n">
        <x:v>595</x:v>
      </x:c>
    </x:row>
    <x:row r="376">
      <x:c r="A376" t="n">
        <x:v>4</x:v>
      </x:c>
      <x:c r="B376" t="n">
        <x:v>23</x:v>
      </x:c>
      <x:c r="C376" t="str">
        <x:v>B</x:v>
      </x:c>
      <x:c r="D376" s="42" t="n">
        <x:v>392</x:v>
      </x:c>
      <x:c r="E376" s="44"/>
      <x:c r="F376" s="44"/>
      <x:c r="G376" s="44"/>
      <x:c r="H376" s="42" t="str">
        <x:f>IF(COUNT(E376:G376)=0,"",E376+IF(F376="",0,F376)-IF(G376="",0,G376))</x:f>
      </x:c>
      <x:c r="I376" s="42" t="str">
        <x:f>IF(H376="","",MAX(0,L376-H376))</x:f>
      </x:c>
      <x:c r="J376" t="str">
        <x:f>IF(H376="","UNKNOWN - inventory not entered",IF(H376&lt;=D376,"REORDER NOW",IF(H376&lt;=1.2*D376,"WATCH","OK")))</x:f>
        <x:v>UNKNOWN - inventory not entered</x:v>
      </x:c>
      <x:c r="K376" t="str">
        <x:v>Lower</x:v>
      </x:c>
      <x:c r="L376" t="n">
        <x:v>577</x:v>
      </x:c>
    </x:row>
    <x:row r="377">
      <x:c r="A377" t="n">
        <x:v>8</x:v>
      </x:c>
      <x:c r="B377" t="n">
        <x:v>16</x:v>
      </x:c>
      <x:c r="C377" t="str">
        <x:v>C</x:v>
      </x:c>
      <x:c r="D377" s="42" t="n">
        <x:v>373</x:v>
      </x:c>
      <x:c r="E377" s="44"/>
      <x:c r="F377" s="44"/>
      <x:c r="G377" s="44"/>
      <x:c r="H377" s="42" t="str">
        <x:f>IF(COUNT(E377:G377)=0,"",E377+IF(F377="",0,F377)-IF(G377="",0,G377))</x:f>
      </x:c>
      <x:c r="I377" s="42" t="str">
        <x:f>IF(H377="","",MAX(0,L377-H377))</x:f>
      </x:c>
      <x:c r="J377" t="str">
        <x:f>IF(H377="","UNKNOWN - inventory not entered",IF(H377&lt;=D377,"REORDER NOW",IF(H377&lt;=1.2*D377,"WATCH","OK")))</x:f>
        <x:v>UNKNOWN - inventory not entered</x:v>
      </x:c>
      <x:c r="K377" t="str">
        <x:v>Lower</x:v>
      </x:c>
      <x:c r="L377" t="n">
        <x:v>545</x:v>
      </x:c>
    </x:row>
    <x:row r="378">
      <x:c r="A378" t="n">
        <x:v>9</x:v>
      </x:c>
      <x:c r="B378" t="n">
        <x:v>49</x:v>
      </x:c>
      <x:c r="C378" t="str">
        <x:v>B</x:v>
      </x:c>
      <x:c r="D378" s="42" t="n">
        <x:v>413</x:v>
      </x:c>
      <x:c r="E378" s="44"/>
      <x:c r="F378" s="44"/>
      <x:c r="G378" s="44"/>
      <x:c r="H378" s="42" t="str">
        <x:f>IF(COUNT(E378:G378)=0,"",E378+IF(F378="",0,F378)-IF(G378="",0,G378))</x:f>
      </x:c>
      <x:c r="I378" s="42" t="str">
        <x:f>IF(H378="","",MAX(0,L378-H378))</x:f>
      </x:c>
      <x:c r="J378" t="str">
        <x:f>IF(H378="","UNKNOWN - inventory not entered",IF(H378&lt;=D378,"REORDER NOW",IF(H378&lt;=1.2*D378,"WATCH","OK")))</x:f>
        <x:v>UNKNOWN - inventory not entered</x:v>
      </x:c>
      <x:c r="K378" t="str">
        <x:v>Lower</x:v>
      </x:c>
      <x:c r="L378" t="n">
        <x:v>586</x:v>
      </x:c>
    </x:row>
    <x:row r="379">
      <x:c r="A379" t="n">
        <x:v>4</x:v>
      </x:c>
      <x:c r="B379" t="n">
        <x:v>44</x:v>
      </x:c>
      <x:c r="C379" t="str">
        <x:v>B</x:v>
      </x:c>
      <x:c r="D379" s="42" t="n">
        <x:v>388</x:v>
      </x:c>
      <x:c r="E379" s="44"/>
      <x:c r="F379" s="44"/>
      <x:c r="G379" s="44"/>
      <x:c r="H379" s="42" t="str">
        <x:f>IF(COUNT(E379:G379)=0,"",E379+IF(F379="",0,F379)-IF(G379="",0,G379))</x:f>
      </x:c>
      <x:c r="I379" s="42" t="str">
        <x:f>IF(H379="","",MAX(0,L379-H379))</x:f>
      </x:c>
      <x:c r="J379" t="str">
        <x:f>IF(H379="","UNKNOWN - inventory not entered",IF(H379&lt;=D379,"REORDER NOW",IF(H379&lt;=1.2*D379,"WATCH","OK")))</x:f>
        <x:v>UNKNOWN - inventory not entered</x:v>
      </x:c>
      <x:c r="K379" t="str">
        <x:v>Lower</x:v>
      </x:c>
      <x:c r="L379" t="n">
        <x:v>561</x:v>
      </x:c>
    </x:row>
    <x:row r="380">
      <x:c r="A380" t="n">
        <x:v>5</x:v>
      </x:c>
      <x:c r="B380" t="n">
        <x:v>19</x:v>
      </x:c>
      <x:c r="C380" t="str">
        <x:v>B</x:v>
      </x:c>
      <x:c r="D380" s="42" t="n">
        <x:v>408</x:v>
      </x:c>
      <x:c r="E380" s="44"/>
      <x:c r="F380" s="44"/>
      <x:c r="G380" s="44"/>
      <x:c r="H380" s="42" t="str">
        <x:f>IF(COUNT(E380:G380)=0,"",E380+IF(F380="",0,F380)-IF(G380="",0,G380))</x:f>
      </x:c>
      <x:c r="I380" s="42" t="str">
        <x:f>IF(H380="","",MAX(0,L380-H380))</x:f>
      </x:c>
      <x:c r="J380" t="str">
        <x:f>IF(H380="","UNKNOWN - inventory not entered",IF(H380&lt;=D380,"REORDER NOW",IF(H380&lt;=1.2*D380,"WATCH","OK")))</x:f>
        <x:v>UNKNOWN - inventory not entered</x:v>
      </x:c>
      <x:c r="K380" t="str">
        <x:v>Lower</x:v>
      </x:c>
      <x:c r="L380" t="n">
        <x:v>588</x:v>
      </x:c>
    </x:row>
    <x:row r="381">
      <x:c r="A381" t="n">
        <x:v>8</x:v>
      </x:c>
      <x:c r="B381" t="n">
        <x:v>34</x:v>
      </x:c>
      <x:c r="C381" t="str">
        <x:v>B</x:v>
      </x:c>
      <x:c r="D381" s="42" t="n">
        <x:v>420</x:v>
      </x:c>
      <x:c r="E381" s="44"/>
      <x:c r="F381" s="44"/>
      <x:c r="G381" s="44"/>
      <x:c r="H381" s="42" t="str">
        <x:f>IF(COUNT(E381:G381)=0,"",E381+IF(F381="",0,F381)-IF(G381="",0,G381))</x:f>
      </x:c>
      <x:c r="I381" s="42" t="str">
        <x:f>IF(H381="","",MAX(0,L381-H381))</x:f>
      </x:c>
      <x:c r="J381" t="str">
        <x:f>IF(H381="","UNKNOWN - inventory not entered",IF(H381&lt;=D381,"REORDER NOW",IF(H381&lt;=1.2*D381,"WATCH","OK")))</x:f>
        <x:v>UNKNOWN - inventory not entered</x:v>
      </x:c>
      <x:c r="K381" t="str">
        <x:v>Lower</x:v>
      </x:c>
      <x:c r="L381" t="n">
        <x:v>587</x:v>
      </x:c>
    </x:row>
    <x:row r="382">
      <x:c r="A382" t="n">
        <x:v>5</x:v>
      </x:c>
      <x:c r="B382" t="n">
        <x:v>30</x:v>
      </x:c>
      <x:c r="C382" t="str">
        <x:v>B</x:v>
      </x:c>
      <x:c r="D382" s="42" t="n">
        <x:v>401</x:v>
      </x:c>
      <x:c r="E382" s="44"/>
      <x:c r="F382" s="44"/>
      <x:c r="G382" s="44"/>
      <x:c r="H382" s="42" t="str">
        <x:f>IF(COUNT(E382:G382)=0,"",E382+IF(F382="",0,F382)-IF(G382="",0,G382))</x:f>
      </x:c>
      <x:c r="I382" s="42" t="str">
        <x:f>IF(H382="","",MAX(0,L382-H382))</x:f>
      </x:c>
      <x:c r="J382" t="str">
        <x:f>IF(H382="","UNKNOWN - inventory not entered",IF(H382&lt;=D382,"REORDER NOW",IF(H382&lt;=1.2*D382,"WATCH","OK")))</x:f>
        <x:v>UNKNOWN - inventory not entered</x:v>
      </x:c>
      <x:c r="K382" t="str">
        <x:v>Lower</x:v>
      </x:c>
      <x:c r="L382" t="n">
        <x:v>554</x:v>
      </x:c>
    </x:row>
    <x:row r="383">
      <x:c r="A383" t="n">
        <x:v>4</x:v>
      </x:c>
      <x:c r="B383" t="n">
        <x:v>49</x:v>
      </x:c>
      <x:c r="C383" t="str">
        <x:v>B</x:v>
      </x:c>
      <x:c r="D383" s="42" t="n">
        <x:v>373</x:v>
      </x:c>
      <x:c r="E383" s="44"/>
      <x:c r="F383" s="44"/>
      <x:c r="G383" s="44"/>
      <x:c r="H383" s="42" t="str">
        <x:f>IF(COUNT(E383:G383)=0,"",E383+IF(F383="",0,F383)-IF(G383="",0,G383))</x:f>
      </x:c>
      <x:c r="I383" s="42" t="str">
        <x:f>IF(H383="","",MAX(0,L383-H383))</x:f>
      </x:c>
      <x:c r="J383" t="str">
        <x:f>IF(H383="","UNKNOWN - inventory not entered",IF(H383&lt;=D383,"REORDER NOW",IF(H383&lt;=1.2*D383,"WATCH","OK")))</x:f>
        <x:v>UNKNOWN - inventory not entered</x:v>
      </x:c>
      <x:c r="K383" t="str">
        <x:v>Lower</x:v>
      </x:c>
      <x:c r="L383" t="n">
        <x:v>557</x:v>
      </x:c>
    </x:row>
    <x:row r="384">
      <x:c r="A384" t="n">
        <x:v>9</x:v>
      </x:c>
      <x:c r="B384" t="n">
        <x:v>23</x:v>
      </x:c>
      <x:c r="C384" t="str">
        <x:v>B</x:v>
      </x:c>
      <x:c r="D384" s="42" t="n">
        <x:v>402</x:v>
      </x:c>
      <x:c r="E384" s="44"/>
      <x:c r="F384" s="44"/>
      <x:c r="G384" s="44"/>
      <x:c r="H384" s="42" t="str">
        <x:f>IF(COUNT(E384:G384)=0,"",E384+IF(F384="",0,F384)-IF(G384="",0,G384))</x:f>
      </x:c>
      <x:c r="I384" s="42" t="str">
        <x:f>IF(H384="","",MAX(0,L384-H384))</x:f>
      </x:c>
      <x:c r="J384" t="str">
        <x:f>IF(H384="","UNKNOWN - inventory not entered",IF(H384&lt;=D384,"REORDER NOW",IF(H384&lt;=1.2*D384,"WATCH","OK")))</x:f>
        <x:v>UNKNOWN - inventory not entered</x:v>
      </x:c>
      <x:c r="K384" t="str">
        <x:v>Lower</x:v>
      </x:c>
      <x:c r="L384" t="n">
        <x:v>591</x:v>
      </x:c>
    </x:row>
    <x:row r="385">
      <x:c r="A385" t="n">
        <x:v>4</x:v>
      </x:c>
      <x:c r="B385" t="n">
        <x:v>37</x:v>
      </x:c>
      <x:c r="C385" t="str">
        <x:v>B</x:v>
      </x:c>
      <x:c r="D385" s="42" t="n">
        <x:v>415</x:v>
      </x:c>
      <x:c r="E385" s="44"/>
      <x:c r="F385" s="44"/>
      <x:c r="G385" s="44"/>
      <x:c r="H385" s="42" t="str">
        <x:f>IF(COUNT(E385:G385)=0,"",E385+IF(F385="",0,F385)-IF(G385="",0,G385))</x:f>
      </x:c>
      <x:c r="I385" s="42" t="str">
        <x:f>IF(H385="","",MAX(0,L385-H385))</x:f>
      </x:c>
      <x:c r="J385" t="str">
        <x:f>IF(H385="","UNKNOWN - inventory not entered",IF(H385&lt;=D385,"REORDER NOW",IF(H385&lt;=1.2*D385,"WATCH","OK")))</x:f>
        <x:v>UNKNOWN - inventory not entered</x:v>
      </x:c>
      <x:c r="K385" t="str">
        <x:v>Lower</x:v>
      </x:c>
      <x:c r="L385" t="n">
        <x:v>569</x:v>
      </x:c>
    </x:row>
    <x:row r="386">
      <x:c r="A386" t="n">
        <x:v>7</x:v>
      </x:c>
      <x:c r="B386" t="n">
        <x:v>39</x:v>
      </x:c>
      <x:c r="C386" t="str">
        <x:v>A</x:v>
      </x:c>
      <x:c r="D386" s="42" t="n">
        <x:v>392</x:v>
      </x:c>
      <x:c r="E386" s="44"/>
      <x:c r="F386" s="44"/>
      <x:c r="G386" s="44"/>
      <x:c r="H386" s="42" t="str">
        <x:f>IF(COUNT(E386:G386)=0,"",E386+IF(F386="",0,F386)-IF(G386="",0,G386))</x:f>
      </x:c>
      <x:c r="I386" s="42" t="str">
        <x:f>IF(H386="","",MAX(0,L386-H386))</x:f>
      </x:c>
      <x:c r="J386" t="str">
        <x:f>IF(H386="","UNKNOWN - inventory not entered",IF(H386&lt;=D386,"REORDER NOW",IF(H386&lt;=1.2*D386,"WATCH","OK")))</x:f>
        <x:v>UNKNOWN - inventory not entered</x:v>
      </x:c>
      <x:c r="K386" t="str">
        <x:v>Lower</x:v>
      </x:c>
      <x:c r="L386" t="n">
        <x:v>561</x:v>
      </x:c>
    </x:row>
    <x:row r="387">
      <x:c r="A387" t="n">
        <x:v>6</x:v>
      </x:c>
      <x:c r="B387" t="n">
        <x:v>21</x:v>
      </x:c>
      <x:c r="C387" t="str">
        <x:v>B</x:v>
      </x:c>
      <x:c r="D387" s="42" t="n">
        <x:v>381</x:v>
      </x:c>
      <x:c r="E387" s="44"/>
      <x:c r="F387" s="44"/>
      <x:c r="G387" s="44"/>
      <x:c r="H387" s="42" t="str">
        <x:f>IF(COUNT(E387:G387)=0,"",E387+IF(F387="",0,F387)-IF(G387="",0,G387))</x:f>
      </x:c>
      <x:c r="I387" s="42" t="str">
        <x:f>IF(H387="","",MAX(0,L387-H387))</x:f>
      </x:c>
      <x:c r="J387" t="str">
        <x:f>IF(H387="","UNKNOWN - inventory not entered",IF(H387&lt;=D387,"REORDER NOW",IF(H387&lt;=1.2*D387,"WATCH","OK")))</x:f>
        <x:v>UNKNOWN - inventory not entered</x:v>
      </x:c>
      <x:c r="K387" t="str">
        <x:v>Lower</x:v>
      </x:c>
      <x:c r="L387" t="n">
        <x:v>564</x:v>
      </x:c>
    </x:row>
    <x:row r="388">
      <x:c r="A388" t="n">
        <x:v>9</x:v>
      </x:c>
      <x:c r="B388" t="n">
        <x:v>37</x:v>
      </x:c>
      <x:c r="C388" t="str">
        <x:v>B</x:v>
      </x:c>
      <x:c r="D388" s="42" t="n">
        <x:v>368</x:v>
      </x:c>
      <x:c r="E388" s="44"/>
      <x:c r="F388" s="44"/>
      <x:c r="G388" s="44"/>
      <x:c r="H388" s="42" t="str">
        <x:f>IF(COUNT(E388:G388)=0,"",E388+IF(F388="",0,F388)-IF(G388="",0,G388))</x:f>
      </x:c>
      <x:c r="I388" s="42" t="str">
        <x:f>IF(H388="","",MAX(0,L388-H388))</x:f>
      </x:c>
      <x:c r="J388" t="str">
        <x:f>IF(H388="","UNKNOWN - inventory not entered",IF(H388&lt;=D388,"REORDER NOW",IF(H388&lt;=1.2*D388,"WATCH","OK")))</x:f>
        <x:v>UNKNOWN - inventory not entered</x:v>
      </x:c>
      <x:c r="K388" t="str">
        <x:v>Lower</x:v>
      </x:c>
      <x:c r="L388" t="n">
        <x:v>537</x:v>
      </x:c>
    </x:row>
    <x:row r="389">
      <x:c r="A389" t="n">
        <x:v>5</x:v>
      </x:c>
      <x:c r="B389" t="n">
        <x:v>21</x:v>
      </x:c>
      <x:c r="C389" t="str">
        <x:v>B</x:v>
      </x:c>
      <x:c r="D389" s="42" t="n">
        <x:v>378</x:v>
      </x:c>
      <x:c r="E389" s="44"/>
      <x:c r="F389" s="44"/>
      <x:c r="G389" s="44"/>
      <x:c r="H389" s="42" t="str">
        <x:f>IF(COUNT(E389:G389)=0,"",E389+IF(F389="",0,F389)-IF(G389="",0,G389))</x:f>
      </x:c>
      <x:c r="I389" s="42" t="str">
        <x:f>IF(H389="","",MAX(0,L389-H389))</x:f>
      </x:c>
      <x:c r="J389" t="str">
        <x:f>IF(H389="","UNKNOWN - inventory not entered",IF(H389&lt;=D389,"REORDER NOW",IF(H389&lt;=1.2*D389,"WATCH","OK")))</x:f>
        <x:v>UNKNOWN - inventory not entered</x:v>
      </x:c>
      <x:c r="K389" t="str">
        <x:v>Lower</x:v>
      </x:c>
      <x:c r="L389" t="n">
        <x:v>561</x:v>
      </x:c>
    </x:row>
    <x:row r="390">
      <x:c r="A390" t="n">
        <x:v>9</x:v>
      </x:c>
      <x:c r="B390" t="n">
        <x:v>44</x:v>
      </x:c>
      <x:c r="C390" t="str">
        <x:v>B</x:v>
      </x:c>
      <x:c r="D390" s="42" t="n">
        <x:v>375</x:v>
      </x:c>
      <x:c r="E390" s="44"/>
      <x:c r="F390" s="44"/>
      <x:c r="G390" s="44"/>
      <x:c r="H390" s="42" t="str">
        <x:f>IF(COUNT(E390:G390)=0,"",E390+IF(F390="",0,F390)-IF(G390="",0,G390))</x:f>
      </x:c>
      <x:c r="I390" s="42" t="str">
        <x:f>IF(H390="","",MAX(0,L390-H390))</x:f>
      </x:c>
      <x:c r="J390" t="str">
        <x:f>IF(H390="","UNKNOWN - inventory not entered",IF(H390&lt;=D390,"REORDER NOW",IF(H390&lt;=1.2*D390,"WATCH","OK")))</x:f>
        <x:v>UNKNOWN - inventory not entered</x:v>
      </x:c>
      <x:c r="K390" t="str">
        <x:v>Lower</x:v>
      </x:c>
      <x:c r="L390" t="n">
        <x:v>548</x:v>
      </x:c>
    </x:row>
    <x:row r="391">
      <x:c r="A391" t="n">
        <x:v>6</x:v>
      </x:c>
      <x:c r="B391" t="n">
        <x:v>19</x:v>
      </x:c>
      <x:c r="C391" t="str">
        <x:v>B</x:v>
      </x:c>
      <x:c r="D391" s="42" t="n">
        <x:v>376</x:v>
      </x:c>
      <x:c r="E391" s="44"/>
      <x:c r="F391" s="44"/>
      <x:c r="G391" s="44"/>
      <x:c r="H391" s="42" t="str">
        <x:f>IF(COUNT(E391:G391)=0,"",E391+IF(F391="",0,F391)-IF(G391="",0,G391))</x:f>
      </x:c>
      <x:c r="I391" s="42" t="str">
        <x:f>IF(H391="","",MAX(0,L391-H391))</x:f>
      </x:c>
      <x:c r="J391" t="str">
        <x:f>IF(H391="","UNKNOWN - inventory not entered",IF(H391&lt;=D391,"REORDER NOW",IF(H391&lt;=1.2*D391,"WATCH","OK")))</x:f>
        <x:v>UNKNOWN - inventory not entered</x:v>
      </x:c>
      <x:c r="K391" t="str">
        <x:v>Lower</x:v>
      </x:c>
      <x:c r="L391" t="n">
        <x:v>551</x:v>
      </x:c>
    </x:row>
    <x:row r="392">
      <x:c r="A392" t="n">
        <x:v>9</x:v>
      </x:c>
      <x:c r="B392" t="n">
        <x:v>40</x:v>
      </x:c>
      <x:c r="C392" t="str">
        <x:v>B</x:v>
      </x:c>
      <x:c r="D392" s="42" t="n">
        <x:v>383</x:v>
      </x:c>
      <x:c r="E392" s="44"/>
      <x:c r="F392" s="44"/>
      <x:c r="G392" s="44"/>
      <x:c r="H392" s="42" t="str">
        <x:f>IF(COUNT(E392:G392)=0,"",E392+IF(F392="",0,F392)-IF(G392="",0,G392))</x:f>
      </x:c>
      <x:c r="I392" s="42" t="str">
        <x:f>IF(H392="","",MAX(0,L392-H392))</x:f>
      </x:c>
      <x:c r="J392" t="str">
        <x:f>IF(H392="","UNKNOWN - inventory not entered",IF(H392&lt;=D392,"REORDER NOW",IF(H392&lt;=1.2*D392,"WATCH","OK")))</x:f>
        <x:v>UNKNOWN - inventory not entered</x:v>
      </x:c>
      <x:c r="K392" t="str">
        <x:v>Lower</x:v>
      </x:c>
      <x:c r="L392" t="n">
        <x:v>544</x:v>
      </x:c>
    </x:row>
    <x:row r="393">
      <x:c r="A393" t="n">
        <x:v>7</x:v>
      </x:c>
      <x:c r="B393" t="n">
        <x:v>32</x:v>
      </x:c>
      <x:c r="C393" t="str">
        <x:v>A</x:v>
      </x:c>
      <x:c r="D393" s="42" t="n">
        <x:v>354</x:v>
      </x:c>
      <x:c r="E393" s="44"/>
      <x:c r="F393" s="44"/>
      <x:c r="G393" s="44"/>
      <x:c r="H393" s="42" t="str">
        <x:f>IF(COUNT(E393:G393)=0,"",E393+IF(F393="",0,F393)-IF(G393="",0,G393))</x:f>
      </x:c>
      <x:c r="I393" s="42" t="str">
        <x:f>IF(H393="","",MAX(0,L393-H393))</x:f>
      </x:c>
      <x:c r="J393" t="str">
        <x:f>IF(H393="","UNKNOWN - inventory not entered",IF(H393&lt;=D393,"REORDER NOW",IF(H393&lt;=1.2*D393,"WATCH","OK")))</x:f>
        <x:v>UNKNOWN - inventory not entered</x:v>
      </x:c>
      <x:c r="K393" t="str">
        <x:v>Lower</x:v>
      </x:c>
      <x:c r="L393" t="n">
        <x:v>534</x:v>
      </x:c>
    </x:row>
    <x:row r="394">
      <x:c r="A394" t="n">
        <x:v>3</x:v>
      </x:c>
      <x:c r="B394" t="n">
        <x:v>16</x:v>
      </x:c>
      <x:c r="C394" t="str">
        <x:v>C</x:v>
      </x:c>
      <x:c r="D394" s="42" t="n">
        <x:v>398</x:v>
      </x:c>
      <x:c r="E394" s="44"/>
      <x:c r="F394" s="44"/>
      <x:c r="G394" s="44"/>
      <x:c r="H394" s="42" t="str">
        <x:f>IF(COUNT(E394:G394)=0,"",E394+IF(F394="",0,F394)-IF(G394="",0,G394))</x:f>
      </x:c>
      <x:c r="I394" s="42" t="str">
        <x:f>IF(H394="","",MAX(0,L394-H394))</x:f>
      </x:c>
      <x:c r="J394" t="str">
        <x:f>IF(H394="","UNKNOWN - inventory not entered",IF(H394&lt;=D394,"REORDER NOW",IF(H394&lt;=1.2*D394,"WATCH","OK")))</x:f>
        <x:v>UNKNOWN - inventory not entered</x:v>
      </x:c>
      <x:c r="K394" t="str">
        <x:v>Lower</x:v>
      </x:c>
      <x:c r="L394" t="n">
        <x:v>568</x:v>
      </x:c>
    </x:row>
    <x:row r="395">
      <x:c r="A395" t="n">
        <x:v>3</x:v>
      </x:c>
      <x:c r="B395" t="n">
        <x:v>34</x:v>
      </x:c>
      <x:c r="C395" t="str">
        <x:v>B</x:v>
      </x:c>
      <x:c r="D395" s="42" t="n">
        <x:v>380</x:v>
      </x:c>
      <x:c r="E395" s="44"/>
      <x:c r="F395" s="44"/>
      <x:c r="G395" s="44"/>
      <x:c r="H395" s="42" t="str">
        <x:f>IF(COUNT(E395:G395)=0,"",E395+IF(F395="",0,F395)-IF(G395="",0,G395))</x:f>
      </x:c>
      <x:c r="I395" s="42" t="str">
        <x:f>IF(H395="","",MAX(0,L395-H395))</x:f>
      </x:c>
      <x:c r="J395" t="str">
        <x:f>IF(H395="","UNKNOWN - inventory not entered",IF(H395&lt;=D395,"REORDER NOW",IF(H395&lt;=1.2*D395,"WATCH","OK")))</x:f>
        <x:v>UNKNOWN - inventory not entered</x:v>
      </x:c>
      <x:c r="K395" t="str">
        <x:v>Lower</x:v>
      </x:c>
      <x:c r="L395" t="n">
        <x:v>537</x:v>
      </x:c>
    </x:row>
    <x:row r="396">
      <x:c r="A396" t="n">
        <x:v>1</x:v>
      </x:c>
      <x:c r="B396" t="n">
        <x:v>17</x:v>
      </x:c>
      <x:c r="C396" t="str">
        <x:v>B</x:v>
      </x:c>
      <x:c r="D396" s="42" t="n">
        <x:v>377</x:v>
      </x:c>
      <x:c r="E396" s="44"/>
      <x:c r="F396" s="44"/>
      <x:c r="G396" s="44"/>
      <x:c r="H396" s="42" t="str">
        <x:f>IF(COUNT(E396:G396)=0,"",E396+IF(F396="",0,F396)-IF(G396="",0,G396))</x:f>
      </x:c>
      <x:c r="I396" s="42" t="str">
        <x:f>IF(H396="","",MAX(0,L396-H396))</x:f>
      </x:c>
      <x:c r="J396" t="str">
        <x:f>IF(H396="","UNKNOWN - inventory not entered",IF(H396&lt;=D396,"REORDER NOW",IF(H396&lt;=1.2*D396,"WATCH","OK")))</x:f>
        <x:v>UNKNOWN - inventory not entered</x:v>
      </x:c>
      <x:c r="K396" t="str">
        <x:v>Lower</x:v>
      </x:c>
      <x:c r="L396" t="n">
        <x:v>533</x:v>
      </x:c>
    </x:row>
    <x:row r="397">
      <x:c r="A397" t="n">
        <x:v>4</x:v>
      </x:c>
      <x:c r="B397" t="n">
        <x:v>40</x:v>
      </x:c>
      <x:c r="C397" t="str">
        <x:v>B</x:v>
      </x:c>
      <x:c r="D397" s="42" t="n">
        <x:v>374</x:v>
      </x:c>
      <x:c r="E397" s="44"/>
      <x:c r="F397" s="44"/>
      <x:c r="G397" s="44"/>
      <x:c r="H397" s="42" t="str">
        <x:f>IF(COUNT(E397:G397)=0,"",E397+IF(F397="",0,F397)-IF(G397="",0,G397))</x:f>
      </x:c>
      <x:c r="I397" s="42" t="str">
        <x:f>IF(H397="","",MAX(0,L397-H397))</x:f>
      </x:c>
      <x:c r="J397" t="str">
        <x:f>IF(H397="","UNKNOWN - inventory not entered",IF(H397&lt;=D397,"REORDER NOW",IF(H397&lt;=1.2*D397,"WATCH","OK")))</x:f>
        <x:v>UNKNOWN - inventory not entered</x:v>
      </x:c>
      <x:c r="K397" t="str">
        <x:v>Lower</x:v>
      </x:c>
      <x:c r="L397" t="n">
        <x:v>552</x:v>
      </x:c>
    </x:row>
    <x:row r="398">
      <x:c r="A398" t="n">
        <x:v>6</x:v>
      </x:c>
      <x:c r="B398" t="n">
        <x:v>30</x:v>
      </x:c>
      <x:c r="C398" t="str">
        <x:v>B</x:v>
      </x:c>
      <x:c r="D398" s="42" t="n">
        <x:v>401</x:v>
      </x:c>
      <x:c r="E398" s="44"/>
      <x:c r="F398" s="44"/>
      <x:c r="G398" s="44"/>
      <x:c r="H398" s="42" t="str">
        <x:f>IF(COUNT(E398:G398)=0,"",E398+IF(F398="",0,F398)-IF(G398="",0,G398))</x:f>
      </x:c>
      <x:c r="I398" s="42" t="str">
        <x:f>IF(H398="","",MAX(0,L398-H398))</x:f>
      </x:c>
      <x:c r="J398" t="str">
        <x:f>IF(H398="","UNKNOWN - inventory not entered",IF(H398&lt;=D398,"REORDER NOW",IF(H398&lt;=1.2*D398,"WATCH","OK")))</x:f>
        <x:v>UNKNOWN - inventory not entered</x:v>
      </x:c>
      <x:c r="K398" t="str">
        <x:v>Lower</x:v>
      </x:c>
      <x:c r="L398" t="n">
        <x:v>609</x:v>
      </x:c>
    </x:row>
    <x:row r="399">
      <x:c r="A399" t="n">
        <x:v>10</x:v>
      </x:c>
      <x:c r="B399" t="n">
        <x:v>16</x:v>
      </x:c>
      <x:c r="C399" t="str">
        <x:v>C</x:v>
      </x:c>
      <x:c r="D399" s="42" t="n">
        <x:v>391</x:v>
      </x:c>
      <x:c r="E399" s="44"/>
      <x:c r="F399" s="44"/>
      <x:c r="G399" s="44"/>
      <x:c r="H399" s="42" t="str">
        <x:f>IF(COUNT(E399:G399)=0,"",E399+IF(F399="",0,F399)-IF(G399="",0,G399))</x:f>
      </x:c>
      <x:c r="I399" s="42" t="str">
        <x:f>IF(H399="","",MAX(0,L399-H399))</x:f>
      </x:c>
      <x:c r="J399" t="str">
        <x:f>IF(H399="","UNKNOWN - inventory not entered",IF(H399&lt;=D399,"REORDER NOW",IF(H399&lt;=1.2*D399,"WATCH","OK")))</x:f>
        <x:v>UNKNOWN - inventory not entered</x:v>
      </x:c>
      <x:c r="K399" t="str">
        <x:v>Lower</x:v>
      </x:c>
      <x:c r="L399" t="n">
        <x:v>555</x:v>
      </x:c>
    </x:row>
    <x:row r="400">
      <x:c r="A400" t="n">
        <x:v>7</x:v>
      </x:c>
      <x:c r="B400" t="n">
        <x:v>30</x:v>
      </x:c>
      <x:c r="C400" t="str">
        <x:v>B</x:v>
      </x:c>
      <x:c r="D400" s="42" t="n">
        <x:v>340</x:v>
      </x:c>
      <x:c r="E400" s="44"/>
      <x:c r="F400" s="44"/>
      <x:c r="G400" s="44"/>
      <x:c r="H400" s="42" t="str">
        <x:f>IF(COUNT(E400:G400)=0,"",E400+IF(F400="",0,F400)-IF(G400="",0,G400))</x:f>
      </x:c>
      <x:c r="I400" s="42" t="str">
        <x:f>IF(H400="","",MAX(0,L400-H400))</x:f>
      </x:c>
      <x:c r="J400" t="str">
        <x:f>IF(H400="","UNKNOWN - inventory not entered",IF(H400&lt;=D400,"REORDER NOW",IF(H400&lt;=1.2*D400,"WATCH","OK")))</x:f>
        <x:v>UNKNOWN - inventory not entered</x:v>
      </x:c>
      <x:c r="K400" t="str">
        <x:v>Lower</x:v>
      </x:c>
      <x:c r="L400" t="n">
        <x:v>510</x:v>
      </x:c>
    </x:row>
    <x:row r="401">
      <x:c r="A401" t="n">
        <x:v>10</x:v>
      </x:c>
      <x:c r="B401" t="n">
        <x:v>34</x:v>
      </x:c>
      <x:c r="C401" t="str">
        <x:v>B</x:v>
      </x:c>
      <x:c r="D401" s="42" t="n">
        <x:v>330</x:v>
      </x:c>
      <x:c r="E401" s="44"/>
      <x:c r="F401" s="44"/>
      <x:c r="G401" s="44"/>
      <x:c r="H401" s="42" t="str">
        <x:f>IF(COUNT(E401:G401)=0,"",E401+IF(F401="",0,F401)-IF(G401="",0,G401))</x:f>
      </x:c>
      <x:c r="I401" s="42" t="str">
        <x:f>IF(H401="","",MAX(0,L401-H401))</x:f>
      </x:c>
      <x:c r="J401" t="str">
        <x:f>IF(H401="","UNKNOWN - inventory not entered",IF(H401&lt;=D401,"REORDER NOW",IF(H401&lt;=1.2*D401,"WATCH","OK")))</x:f>
        <x:v>UNKNOWN - inventory not entered</x:v>
      </x:c>
      <x:c r="K401" t="str">
        <x:v>Lower</x:v>
      </x:c>
      <x:c r="L401" t="n">
        <x:v>512</x:v>
      </x:c>
    </x:row>
    <x:row r="402">
      <x:c r="A402" t="n">
        <x:v>2</x:v>
      </x:c>
      <x:c r="B402" t="n">
        <x:v>4</x:v>
      </x:c>
      <x:c r="C402" t="str">
        <x:v>C</x:v>
      </x:c>
      <x:c r="D402" s="42" t="n">
        <x:v>344</x:v>
      </x:c>
      <x:c r="E402" s="44"/>
      <x:c r="F402" s="44"/>
      <x:c r="G402" s="44"/>
      <x:c r="H402" s="42" t="str">
        <x:f>IF(COUNT(E402:G402)=0,"",E402+IF(F402="",0,F402)-IF(G402="",0,G402))</x:f>
      </x:c>
      <x:c r="I402" s="42" t="str">
        <x:f>IF(H402="","",MAX(0,L402-H402))</x:f>
      </x:c>
      <x:c r="J402" t="str">
        <x:f>IF(H402="","UNKNOWN - inventory not entered",IF(H402&lt;=D402,"REORDER NOW",IF(H402&lt;=1.2*D402,"WATCH","OK")))</x:f>
        <x:v>UNKNOWN - inventory not entered</x:v>
      </x:c>
      <x:c r="K402" t="str">
        <x:v>Lower</x:v>
      </x:c>
      <x:c r="L402" t="n">
        <x:v>510</x:v>
      </x:c>
    </x:row>
    <x:row r="403">
      <x:c r="A403" t="n">
        <x:v>2</x:v>
      </x:c>
      <x:c r="B403" t="n">
        <x:v>27</x:v>
      </x:c>
      <x:c r="C403" t="str">
        <x:v>C</x:v>
      </x:c>
      <x:c r="D403" s="42" t="n">
        <x:v>368</x:v>
      </x:c>
      <x:c r="E403" s="44"/>
      <x:c r="F403" s="44"/>
      <x:c r="G403" s="44"/>
      <x:c r="H403" s="42" t="str">
        <x:f>IF(COUNT(E403:G403)=0,"",E403+IF(F403="",0,F403)-IF(G403="",0,G403))</x:f>
      </x:c>
      <x:c r="I403" s="42" t="str">
        <x:f>IF(H403="","",MAX(0,L403-H403))</x:f>
      </x:c>
      <x:c r="J403" t="str">
        <x:f>IF(H403="","UNKNOWN - inventory not entered",IF(H403&lt;=D403,"REORDER NOW",IF(H403&lt;=1.2*D403,"WATCH","OK")))</x:f>
        <x:v>UNKNOWN - inventory not entered</x:v>
      </x:c>
      <x:c r="K403" t="str">
        <x:v>Lower</x:v>
      </x:c>
      <x:c r="L403" t="n">
        <x:v>524</x:v>
      </x:c>
    </x:row>
    <x:row r="404">
      <x:c r="A404" t="n">
        <x:v>7</x:v>
      </x:c>
      <x:c r="B404" t="n">
        <x:v>19</x:v>
      </x:c>
      <x:c r="C404" t="str">
        <x:v>B</x:v>
      </x:c>
      <x:c r="D404" s="42" t="n">
        <x:v>339</x:v>
      </x:c>
      <x:c r="E404" s="44"/>
      <x:c r="F404" s="44"/>
      <x:c r="G404" s="44"/>
      <x:c r="H404" s="42" t="str">
        <x:f>IF(COUNT(E404:G404)=0,"",E404+IF(F404="",0,F404)-IF(G404="",0,G404))</x:f>
      </x:c>
      <x:c r="I404" s="42" t="str">
        <x:f>IF(H404="","",MAX(0,L404-H404))</x:f>
      </x:c>
      <x:c r="J404" t="str">
        <x:f>IF(H404="","UNKNOWN - inventory not entered",IF(H404&lt;=D404,"REORDER NOW",IF(H404&lt;=1.2*D404,"WATCH","OK")))</x:f>
        <x:v>UNKNOWN - inventory not entered</x:v>
      </x:c>
      <x:c r="K404" t="str">
        <x:v>Lower</x:v>
      </x:c>
      <x:c r="L404" t="n">
        <x:v>533</x:v>
      </x:c>
    </x:row>
    <x:row r="405">
      <x:c r="A405" t="n">
        <x:v>2</x:v>
      </x:c>
      <x:c r="B405" t="n">
        <x:v>47</x:v>
      </x:c>
      <x:c r="C405" t="str">
        <x:v>C</x:v>
      </x:c>
      <x:c r="D405" s="42" t="n">
        <x:v>363</x:v>
      </x:c>
      <x:c r="E405" s="44"/>
      <x:c r="F405" s="44"/>
      <x:c r="G405" s="44"/>
      <x:c r="H405" s="42" t="str">
        <x:f>IF(COUNT(E405:G405)=0,"",E405+IF(F405="",0,F405)-IF(G405="",0,G405))</x:f>
      </x:c>
      <x:c r="I405" s="42" t="str">
        <x:f>IF(H405="","",MAX(0,L405-H405))</x:f>
      </x:c>
      <x:c r="J405" t="str">
        <x:f>IF(H405="","UNKNOWN - inventory not entered",IF(H405&lt;=D405,"REORDER NOW",IF(H405&lt;=1.2*D405,"WATCH","OK")))</x:f>
        <x:v>UNKNOWN - inventory not entered</x:v>
      </x:c>
      <x:c r="K405" t="str">
        <x:v>Lower</x:v>
      </x:c>
      <x:c r="L405" t="n">
        <x:v>527</x:v>
      </x:c>
    </x:row>
    <x:row r="406">
      <x:c r="A406" t="n">
        <x:v>4</x:v>
      </x:c>
      <x:c r="B406" t="n">
        <x:v>16</x:v>
      </x:c>
      <x:c r="C406" t="str">
        <x:v>C</x:v>
      </x:c>
      <x:c r="D406" s="42" t="n">
        <x:v>327</x:v>
      </x:c>
      <x:c r="E406" s="44"/>
      <x:c r="F406" s="44"/>
      <x:c r="G406" s="44"/>
      <x:c r="H406" s="42" t="str">
        <x:f>IF(COUNT(E406:G406)=0,"",E406+IF(F406="",0,F406)-IF(G406="",0,G406))</x:f>
      </x:c>
      <x:c r="I406" s="42" t="str">
        <x:f>IF(H406="","",MAX(0,L406-H406))</x:f>
      </x:c>
      <x:c r="J406" t="str">
        <x:f>IF(H406="","UNKNOWN - inventory not entered",IF(H406&lt;=D406,"REORDER NOW",IF(H406&lt;=1.2*D406,"WATCH","OK")))</x:f>
        <x:v>UNKNOWN - inventory not entered</x:v>
      </x:c>
      <x:c r="K406" t="str">
        <x:v>Lower</x:v>
      </x:c>
      <x:c r="L406" t="n">
        <x:v>501</x:v>
      </x:c>
    </x:row>
    <x:row r="407">
      <x:c r="A407" t="n">
        <x:v>7</x:v>
      </x:c>
      <x:c r="B407" t="n">
        <x:v>21</x:v>
      </x:c>
      <x:c r="C407" t="str">
        <x:v>B</x:v>
      </x:c>
      <x:c r="D407" s="42" t="n">
        <x:v>362</x:v>
      </x:c>
      <x:c r="E407" s="44"/>
      <x:c r="F407" s="44"/>
      <x:c r="G407" s="44"/>
      <x:c r="H407" s="42" t="str">
        <x:f>IF(COUNT(E407:G407)=0,"",E407+IF(F407="",0,F407)-IF(G407="",0,G407))</x:f>
      </x:c>
      <x:c r="I407" s="42" t="str">
        <x:f>IF(H407="","",MAX(0,L407-H407))</x:f>
      </x:c>
      <x:c r="J407" t="str">
        <x:f>IF(H407="","UNKNOWN - inventory not entered",IF(H407&lt;=D407,"REORDER NOW",IF(H407&lt;=1.2*D407,"WATCH","OK")))</x:f>
        <x:v>UNKNOWN - inventory not entered</x:v>
      </x:c>
      <x:c r="K407" t="str">
        <x:v>Lower</x:v>
      </x:c>
      <x:c r="L407" t="n">
        <x:v>517</x:v>
      </x:c>
    </x:row>
    <x:row r="408">
      <x:c r="A408" t="n">
        <x:v>2</x:v>
      </x:c>
      <x:c r="B408" t="n">
        <x:v>41</x:v>
      </x:c>
      <x:c r="C408" t="str">
        <x:v>C</x:v>
      </x:c>
      <x:c r="D408" s="42" t="n">
        <x:v>336</x:v>
      </x:c>
      <x:c r="E408" s="44"/>
      <x:c r="F408" s="44"/>
      <x:c r="G408" s="44"/>
      <x:c r="H408" s="42" t="str">
        <x:f>IF(COUNT(E408:G408)=0,"",E408+IF(F408="",0,F408)-IF(G408="",0,G408))</x:f>
      </x:c>
      <x:c r="I408" s="42" t="str">
        <x:f>IF(H408="","",MAX(0,L408-H408))</x:f>
      </x:c>
      <x:c r="J408" t="str">
        <x:f>IF(H408="","UNKNOWN - inventory not entered",IF(H408&lt;=D408,"REORDER NOW",IF(H408&lt;=1.2*D408,"WATCH","OK")))</x:f>
        <x:v>UNKNOWN - inventory not entered</x:v>
      </x:c>
      <x:c r="K408" t="str">
        <x:v>Lower</x:v>
      </x:c>
      <x:c r="L408" t="n">
        <x:v>495</x:v>
      </x:c>
    </x:row>
    <x:row r="409">
      <x:c r="A409" t="n">
        <x:v>2</x:v>
      </x:c>
      <x:c r="B409" t="n">
        <x:v>1</x:v>
      </x:c>
      <x:c r="C409" t="str">
        <x:v>C</x:v>
      </x:c>
      <x:c r="D409" s="42" t="n">
        <x:v>355</x:v>
      </x:c>
      <x:c r="E409" s="44"/>
      <x:c r="F409" s="44"/>
      <x:c r="G409" s="44"/>
      <x:c r="H409" s="42" t="str">
        <x:f>IF(COUNT(E409:G409)=0,"",E409+IF(F409="",0,F409)-IF(G409="",0,G409))</x:f>
      </x:c>
      <x:c r="I409" s="42" t="str">
        <x:f>IF(H409="","",MAX(0,L409-H409))</x:f>
      </x:c>
      <x:c r="J409" t="str">
        <x:f>IF(H409="","UNKNOWN - inventory not entered",IF(H409&lt;=D409,"REORDER NOW",IF(H409&lt;=1.2*D409,"WATCH","OK")))</x:f>
        <x:v>UNKNOWN - inventory not entered</x:v>
      </x:c>
      <x:c r="K409" t="str">
        <x:v>Lower</x:v>
      </x:c>
      <x:c r="L409" t="n">
        <x:v>524</x:v>
      </x:c>
    </x:row>
    <x:row r="410">
      <x:c r="A410" t="n">
        <x:v>9</x:v>
      </x:c>
      <x:c r="B410" t="n">
        <x:v>16</x:v>
      </x:c>
      <x:c r="C410" t="str">
        <x:v>C</x:v>
      </x:c>
      <x:c r="D410" s="42" t="n">
        <x:v>321</x:v>
      </x:c>
      <x:c r="E410" s="44"/>
      <x:c r="F410" s="44"/>
      <x:c r="G410" s="44"/>
      <x:c r="H410" s="42" t="str">
        <x:f>IF(COUNT(E410:G410)=0,"",E410+IF(F410="",0,F410)-IF(G410="",0,G410))</x:f>
      </x:c>
      <x:c r="I410" s="42" t="str">
        <x:f>IF(H410="","",MAX(0,L410-H410))</x:f>
      </x:c>
      <x:c r="J410" t="str">
        <x:f>IF(H410="","UNKNOWN - inventory not entered",IF(H410&lt;=D410,"REORDER NOW",IF(H410&lt;=1.2*D410,"WATCH","OK")))</x:f>
        <x:v>UNKNOWN - inventory not entered</x:v>
      </x:c>
      <x:c r="K410" t="str">
        <x:v>Lower</x:v>
      </x:c>
      <x:c r="L410" t="n">
        <x:v>501</x:v>
      </x:c>
    </x:row>
    <x:row r="411">
      <x:c r="A411" t="n">
        <x:v>6</x:v>
      </x:c>
      <x:c r="B411" t="n">
        <x:v>3</x:v>
      </x:c>
      <x:c r="C411" t="str">
        <x:v>B</x:v>
      </x:c>
      <x:c r="D411" s="42" t="n">
        <x:v>347</x:v>
      </x:c>
      <x:c r="E411" s="44"/>
      <x:c r="F411" s="44"/>
      <x:c r="G411" s="44"/>
      <x:c r="H411" s="42" t="str">
        <x:f>IF(COUNT(E411:G411)=0,"",E411+IF(F411="",0,F411)-IF(G411="",0,G411))</x:f>
      </x:c>
      <x:c r="I411" s="42" t="str">
        <x:f>IF(H411="","",MAX(0,L411-H411))</x:f>
      </x:c>
      <x:c r="J411" t="str">
        <x:f>IF(H411="","UNKNOWN - inventory not entered",IF(H411&lt;=D411,"REORDER NOW",IF(H411&lt;=1.2*D411,"WATCH","OK")))</x:f>
        <x:v>UNKNOWN - inventory not entered</x:v>
      </x:c>
      <x:c r="K411" t="str">
        <x:v>Lower</x:v>
      </x:c>
      <x:c r="L411" t="n">
        <x:v>497</x:v>
      </x:c>
    </x:row>
    <x:row r="412">
      <x:c r="A412" t="n">
        <x:v>4</x:v>
      </x:c>
      <x:c r="B412" t="n">
        <x:v>34</x:v>
      </x:c>
      <x:c r="C412" t="str">
        <x:v>B</x:v>
      </x:c>
      <x:c r="D412" s="42" t="n">
        <x:v>352</x:v>
      </x:c>
      <x:c r="E412" s="44"/>
      <x:c r="F412" s="44"/>
      <x:c r="G412" s="44"/>
      <x:c r="H412" s="42" t="str">
        <x:f>IF(COUNT(E412:G412)=0,"",E412+IF(F412="",0,F412)-IF(G412="",0,G412))</x:f>
      </x:c>
      <x:c r="I412" s="42" t="str">
        <x:f>IF(H412="","",MAX(0,L412-H412))</x:f>
      </x:c>
      <x:c r="J412" t="str">
        <x:f>IF(H412="","UNKNOWN - inventory not entered",IF(H412&lt;=D412,"REORDER NOW",IF(H412&lt;=1.2*D412,"WATCH","OK")))</x:f>
        <x:v>UNKNOWN - inventory not entered</x:v>
      </x:c>
      <x:c r="K412" t="str">
        <x:v>Lower</x:v>
      </x:c>
      <x:c r="L412" t="n">
        <x:v>494</x:v>
      </x:c>
    </x:row>
    <x:row r="413">
      <x:c r="A413" t="n">
        <x:v>9</x:v>
      </x:c>
      <x:c r="B413" t="n">
        <x:v>34</x:v>
      </x:c>
      <x:c r="C413" t="str">
        <x:v>B</x:v>
      </x:c>
      <x:c r="D413" s="42" t="n">
        <x:v>344</x:v>
      </x:c>
      <x:c r="E413" s="44"/>
      <x:c r="F413" s="44"/>
      <x:c r="G413" s="44"/>
      <x:c r="H413" s="42" t="str">
        <x:f>IF(COUNT(E413:G413)=0,"",E413+IF(F413="",0,F413)-IF(G413="",0,G413))</x:f>
      </x:c>
      <x:c r="I413" s="42" t="str">
        <x:f>IF(H413="","",MAX(0,L413-H413))</x:f>
      </x:c>
      <x:c r="J413" t="str">
        <x:f>IF(H413="","UNKNOWN - inventory not entered",IF(H413&lt;=D413,"REORDER NOW",IF(H413&lt;=1.2*D413,"WATCH","OK")))</x:f>
        <x:v>UNKNOWN - inventory not entered</x:v>
      </x:c>
      <x:c r="K413" t="str">
        <x:v>Lower</x:v>
      </x:c>
      <x:c r="L413" t="n">
        <x:v>501</x:v>
      </x:c>
    </x:row>
    <x:row r="414">
      <x:c r="A414" t="n">
        <x:v>8</x:v>
      </x:c>
      <x:c r="B414" t="n">
        <x:v>47</x:v>
      </x:c>
      <x:c r="C414" t="str">
        <x:v>C</x:v>
      </x:c>
      <x:c r="D414" s="42" t="n">
        <x:v>354</x:v>
      </x:c>
      <x:c r="E414" s="44"/>
      <x:c r="F414" s="44"/>
      <x:c r="G414" s="44"/>
      <x:c r="H414" s="42" t="str">
        <x:f>IF(COUNT(E414:G414)=0,"",E414+IF(F414="",0,F414)-IF(G414="",0,G414))</x:f>
      </x:c>
      <x:c r="I414" s="42" t="str">
        <x:f>IF(H414="","",MAX(0,L414-H414))</x:f>
      </x:c>
      <x:c r="J414" t="str">
        <x:f>IF(H414="","UNKNOWN - inventory not entered",IF(H414&lt;=D414,"REORDER NOW",IF(H414&lt;=1.2*D414,"WATCH","OK")))</x:f>
        <x:v>UNKNOWN - inventory not entered</x:v>
      </x:c>
      <x:c r="K414" t="str">
        <x:v>Lower</x:v>
      </x:c>
      <x:c r="L414" t="n">
        <x:v>511</x:v>
      </x:c>
    </x:row>
    <x:row r="415">
      <x:c r="A415" t="n">
        <x:v>5</x:v>
      </x:c>
      <x:c r="B415" t="n">
        <x:v>42</x:v>
      </x:c>
      <x:c r="C415" t="str">
        <x:v>B</x:v>
      </x:c>
      <x:c r="D415" s="42" t="n">
        <x:v>346</x:v>
      </x:c>
      <x:c r="E415" s="44"/>
      <x:c r="F415" s="44"/>
      <x:c r="G415" s="44"/>
      <x:c r="H415" s="42" t="str">
        <x:f>IF(COUNT(E415:G415)=0,"",E415+IF(F415="",0,F415)-IF(G415="",0,G415))</x:f>
      </x:c>
      <x:c r="I415" s="42" t="str">
        <x:f>IF(H415="","",MAX(0,L415-H415))</x:f>
      </x:c>
      <x:c r="J415" t="str">
        <x:f>IF(H415="","UNKNOWN - inventory not entered",IF(H415&lt;=D415,"REORDER NOW",IF(H415&lt;=1.2*D415,"WATCH","OK")))</x:f>
        <x:v>UNKNOWN - inventory not entered</x:v>
      </x:c>
      <x:c r="K415" t="str">
        <x:v>Lower</x:v>
      </x:c>
      <x:c r="L415" t="n">
        <x:v>519</x:v>
      </x:c>
    </x:row>
    <x:row r="416">
      <x:c r="A416" t="n">
        <x:v>1</x:v>
      </x:c>
      <x:c r="B416" t="n">
        <x:v>40</x:v>
      </x:c>
      <x:c r="C416" t="str">
        <x:v>B</x:v>
      </x:c>
      <x:c r="D416" s="42" t="n">
        <x:v>345</x:v>
      </x:c>
      <x:c r="E416" s="44"/>
      <x:c r="F416" s="44"/>
      <x:c r="G416" s="44"/>
      <x:c r="H416" s="42" t="str">
        <x:f>IF(COUNT(E416:G416)=0,"",E416+IF(F416="",0,F416)-IF(G416="",0,G416))</x:f>
      </x:c>
      <x:c r="I416" s="42" t="str">
        <x:f>IF(H416="","",MAX(0,L416-H416))</x:f>
      </x:c>
      <x:c r="J416" t="str">
        <x:f>IF(H416="","UNKNOWN - inventory not entered",IF(H416&lt;=D416,"REORDER NOW",IF(H416&lt;=1.2*D416,"WATCH","OK")))</x:f>
        <x:v>UNKNOWN - inventory not entered</x:v>
      </x:c>
      <x:c r="K416" t="str">
        <x:v>Lower</x:v>
      </x:c>
      <x:c r="L416" t="n">
        <x:v>498</x:v>
      </x:c>
    </x:row>
    <x:row r="417">
      <x:c r="A417" t="n">
        <x:v>1</x:v>
      </x:c>
      <x:c r="B417" t="n">
        <x:v>23</x:v>
      </x:c>
      <x:c r="C417" t="str">
        <x:v>B</x:v>
      </x:c>
      <x:c r="D417" s="42" t="n">
        <x:v>354</x:v>
      </x:c>
      <x:c r="E417" s="44"/>
      <x:c r="F417" s="44"/>
      <x:c r="G417" s="44"/>
      <x:c r="H417" s="42" t="str">
        <x:f>IF(COUNT(E417:G417)=0,"",E417+IF(F417="",0,F417)-IF(G417="",0,G417))</x:f>
      </x:c>
      <x:c r="I417" s="42" t="str">
        <x:f>IF(H417="","",MAX(0,L417-H417))</x:f>
      </x:c>
      <x:c r="J417" t="str">
        <x:f>IF(H417="","UNKNOWN - inventory not entered",IF(H417&lt;=D417,"REORDER NOW",IF(H417&lt;=1.2*D417,"WATCH","OK")))</x:f>
        <x:v>UNKNOWN - inventory not entered</x:v>
      </x:c>
      <x:c r="K417" t="str">
        <x:v>Lower</x:v>
      </x:c>
      <x:c r="L417" t="n">
        <x:v>521</x:v>
      </x:c>
    </x:row>
    <x:row r="418">
      <x:c r="A418" t="n">
        <x:v>8</x:v>
      </x:c>
      <x:c r="B418" t="n">
        <x:v>41</x:v>
      </x:c>
      <x:c r="C418" t="str">
        <x:v>C</x:v>
      </x:c>
      <x:c r="D418" s="42" t="n">
        <x:v>378</x:v>
      </x:c>
      <x:c r="E418" s="44"/>
      <x:c r="F418" s="44"/>
      <x:c r="G418" s="44"/>
      <x:c r="H418" s="42" t="str">
        <x:f>IF(COUNT(E418:G418)=0,"",E418+IF(F418="",0,F418)-IF(G418="",0,G418))</x:f>
      </x:c>
      <x:c r="I418" s="42" t="str">
        <x:f>IF(H418="","",MAX(0,L418-H418))</x:f>
      </x:c>
      <x:c r="J418" t="str">
        <x:f>IF(H418="","UNKNOWN - inventory not entered",IF(H418&lt;=D418,"REORDER NOW",IF(H418&lt;=1.2*D418,"WATCH","OK")))</x:f>
        <x:v>UNKNOWN - inventory not entered</x:v>
      </x:c>
      <x:c r="K418" t="str">
        <x:v>Lower</x:v>
      </x:c>
      <x:c r="L418" t="n">
        <x:v>537</x:v>
      </x:c>
    </x:row>
    <x:row r="419">
      <x:c r="A419" t="n">
        <x:v>1</x:v>
      </x:c>
      <x:c r="B419" t="n">
        <x:v>44</x:v>
      </x:c>
      <x:c r="C419" t="str">
        <x:v>B</x:v>
      </x:c>
      <x:c r="D419" s="42" t="n">
        <x:v>348</x:v>
      </x:c>
      <x:c r="E419" s="44"/>
      <x:c r="F419" s="44"/>
      <x:c r="G419" s="44"/>
      <x:c r="H419" s="42" t="str">
        <x:f>IF(COUNT(E419:G419)=0,"",E419+IF(F419="",0,F419)-IF(G419="",0,G419))</x:f>
      </x:c>
      <x:c r="I419" s="42" t="str">
        <x:f>IF(H419="","",MAX(0,L419-H419))</x:f>
      </x:c>
      <x:c r="J419" t="str">
        <x:f>IF(H419="","UNKNOWN - inventory not entered",IF(H419&lt;=D419,"REORDER NOW",IF(H419&lt;=1.2*D419,"WATCH","OK")))</x:f>
        <x:v>UNKNOWN - inventory not entered</x:v>
      </x:c>
      <x:c r="K419" t="str">
        <x:v>Lower</x:v>
      </x:c>
      <x:c r="L419" t="n">
        <x:v>511</x:v>
      </x:c>
    </x:row>
    <x:row r="420">
      <x:c r="A420" t="n">
        <x:v>5</x:v>
      </x:c>
      <x:c r="B420" t="n">
        <x:v>3</x:v>
      </x:c>
      <x:c r="C420" t="str">
        <x:v>B</x:v>
      </x:c>
      <x:c r="D420" s="42" t="n">
        <x:v>334</x:v>
      </x:c>
      <x:c r="E420" s="44"/>
      <x:c r="F420" s="44"/>
      <x:c r="G420" s="44"/>
      <x:c r="H420" s="42" t="str">
        <x:f>IF(COUNT(E420:G420)=0,"",E420+IF(F420="",0,F420)-IF(G420="",0,G420))</x:f>
      </x:c>
      <x:c r="I420" s="42" t="str">
        <x:f>IF(H420="","",MAX(0,L420-H420))</x:f>
      </x:c>
      <x:c r="J420" t="str">
        <x:f>IF(H420="","UNKNOWN - inventory not entered",IF(H420&lt;=D420,"REORDER NOW",IF(H420&lt;=1.2*D420,"WATCH","OK")))</x:f>
        <x:v>UNKNOWN - inventory not entered</x:v>
      </x:c>
      <x:c r="K420" t="str">
        <x:v>Lower</x:v>
      </x:c>
      <x:c r="L420" t="n">
        <x:v>488</x:v>
      </x:c>
    </x:row>
    <x:row r="421">
      <x:c r="A421" t="n">
        <x:v>6</x:v>
      </x:c>
      <x:c r="B421" t="n">
        <x:v>42</x:v>
      </x:c>
      <x:c r="C421" t="str">
        <x:v>B</x:v>
      </x:c>
      <x:c r="D421" s="42" t="n">
        <x:v>372</x:v>
      </x:c>
      <x:c r="E421" s="44"/>
      <x:c r="F421" s="44"/>
      <x:c r="G421" s="44"/>
      <x:c r="H421" s="42" t="str">
        <x:f>IF(COUNT(E421:G421)=0,"",E421+IF(F421="",0,F421)-IF(G421="",0,G421))</x:f>
      </x:c>
      <x:c r="I421" s="42" t="str">
        <x:f>IF(H421="","",MAX(0,L421-H421))</x:f>
      </x:c>
      <x:c r="J421" t="str">
        <x:f>IF(H421="","UNKNOWN - inventory not entered",IF(H421&lt;=D421,"REORDER NOW",IF(H421&lt;=1.2*D421,"WATCH","OK")))</x:f>
        <x:v>UNKNOWN - inventory not entered</x:v>
      </x:c>
      <x:c r="K421" t="str">
        <x:v>Lower</x:v>
      </x:c>
      <x:c r="L421" t="n">
        <x:v>516</x:v>
      </x:c>
    </x:row>
    <x:row r="422">
      <x:c r="A422" t="n">
        <x:v>1</x:v>
      </x:c>
      <x:c r="B422" t="n">
        <x:v>49</x:v>
      </x:c>
      <x:c r="C422" t="str">
        <x:v>B</x:v>
      </x:c>
      <x:c r="D422" s="42" t="n">
        <x:v>376</x:v>
      </x:c>
      <x:c r="E422" s="44"/>
      <x:c r="F422" s="44"/>
      <x:c r="G422" s="44"/>
      <x:c r="H422" s="42" t="str">
        <x:f>IF(COUNT(E422:G422)=0,"",E422+IF(F422="",0,F422)-IF(G422="",0,G422))</x:f>
      </x:c>
      <x:c r="I422" s="42" t="str">
        <x:f>IF(H422="","",MAX(0,L422-H422))</x:f>
      </x:c>
      <x:c r="J422" t="str">
        <x:f>IF(H422="","UNKNOWN - inventory not entered",IF(H422&lt;=D422,"REORDER NOW",IF(H422&lt;=1.2*D422,"WATCH","OK")))</x:f>
        <x:v>UNKNOWN - inventory not entered</x:v>
      </x:c>
      <x:c r="K422" t="str">
        <x:v>Lower</x:v>
      </x:c>
      <x:c r="L422" t="n">
        <x:v>517</x:v>
      </x:c>
    </x:row>
    <x:row r="423">
      <x:c r="A423" t="n">
        <x:v>8</x:v>
      </x:c>
      <x:c r="B423" t="n">
        <x:v>1</x:v>
      </x:c>
      <x:c r="C423" t="str">
        <x:v>C</x:v>
      </x:c>
      <x:c r="D423" s="42" t="n">
        <x:v>333</x:v>
      </x:c>
      <x:c r="E423" s="44"/>
      <x:c r="F423" s="44"/>
      <x:c r="G423" s="44"/>
      <x:c r="H423" s="42" t="str">
        <x:f>IF(COUNT(E423:G423)=0,"",E423+IF(F423="",0,F423)-IF(G423="",0,G423))</x:f>
      </x:c>
      <x:c r="I423" s="42" t="str">
        <x:f>IF(H423="","",MAX(0,L423-H423))</x:f>
      </x:c>
      <x:c r="J423" t="str">
        <x:f>IF(H423="","UNKNOWN - inventory not entered",IF(H423&lt;=D423,"REORDER NOW",IF(H423&lt;=1.2*D423,"WATCH","OK")))</x:f>
        <x:v>UNKNOWN - inventory not entered</x:v>
      </x:c>
      <x:c r="K423" t="str">
        <x:v>Lower</x:v>
      </x:c>
      <x:c r="L423" t="n">
        <x:v>491</x:v>
      </x:c>
    </x:row>
    <x:row r="424">
      <x:c r="A424" t="n">
        <x:v>8</x:v>
      </x:c>
      <x:c r="B424" t="n">
        <x:v>27</x:v>
      </x:c>
      <x:c r="C424" t="str">
        <x:v>C</x:v>
      </x:c>
      <x:c r="D424" s="42" t="n">
        <x:v>360</x:v>
      </x:c>
      <x:c r="E424" s="44"/>
      <x:c r="F424" s="44"/>
      <x:c r="G424" s="44"/>
      <x:c r="H424" s="42" t="str">
        <x:f>IF(COUNT(E424:G424)=0,"",E424+IF(F424="",0,F424)-IF(G424="",0,G424))</x:f>
      </x:c>
      <x:c r="I424" s="42" t="str">
        <x:f>IF(H424="","",MAX(0,L424-H424))</x:f>
      </x:c>
      <x:c r="J424" t="str">
        <x:f>IF(H424="","UNKNOWN - inventory not entered",IF(H424&lt;=D424,"REORDER NOW",IF(H424&lt;=1.2*D424,"WATCH","OK")))</x:f>
        <x:v>UNKNOWN - inventory not entered</x:v>
      </x:c>
      <x:c r="K424" t="str">
        <x:v>Lower</x:v>
      </x:c>
      <x:c r="L424" t="n">
        <x:v>530</x:v>
      </x:c>
    </x:row>
    <x:row r="425">
      <x:c r="A425" t="n">
        <x:v>8</x:v>
      </x:c>
      <x:c r="B425" t="n">
        <x:v>4</x:v>
      </x:c>
      <x:c r="C425" t="str">
        <x:v>C</x:v>
      </x:c>
      <x:c r="D425" s="42" t="n">
        <x:v>333</x:v>
      </x:c>
      <x:c r="E425" s="44"/>
      <x:c r="F425" s="44"/>
      <x:c r="G425" s="44"/>
      <x:c r="H425" s="42" t="str">
        <x:f>IF(COUNT(E425:G425)=0,"",E425+IF(F425="",0,F425)-IF(G425="",0,G425))</x:f>
      </x:c>
      <x:c r="I425" s="42" t="str">
        <x:f>IF(H425="","",MAX(0,L425-H425))</x:f>
      </x:c>
      <x:c r="J425" t="str">
        <x:f>IF(H425="","UNKNOWN - inventory not entered",IF(H425&lt;=D425,"REORDER NOW",IF(H425&lt;=1.2*D425,"WATCH","OK")))</x:f>
        <x:v>UNKNOWN - inventory not entered</x:v>
      </x:c>
      <x:c r="K425" t="str">
        <x:v>Lower</x:v>
      </x:c>
      <x:c r="L425" t="n">
        <x:v>477</x:v>
      </x:c>
    </x:row>
    <x:row r="426">
      <x:c r="A426" t="n">
        <x:v>6</x:v>
      </x:c>
      <x:c r="B426" t="n">
        <x:v>17</x:v>
      </x:c>
      <x:c r="C426" t="str">
        <x:v>B</x:v>
      </x:c>
      <x:c r="D426" s="42" t="n">
        <x:v>305</x:v>
      </x:c>
      <x:c r="E426" s="44"/>
      <x:c r="F426" s="44"/>
      <x:c r="G426" s="44"/>
      <x:c r="H426" s="42" t="str">
        <x:f>IF(COUNT(E426:G426)=0,"",E426+IF(F426="",0,F426)-IF(G426="",0,G426))</x:f>
      </x:c>
      <x:c r="I426" s="42" t="str">
        <x:f>IF(H426="","",MAX(0,L426-H426))</x:f>
      </x:c>
      <x:c r="J426" t="str">
        <x:f>IF(H426="","UNKNOWN - inventory not entered",IF(H426&lt;=D426,"REORDER NOW",IF(H426&lt;=1.2*D426,"WATCH","OK")))</x:f>
        <x:v>UNKNOWN - inventory not entered</x:v>
      </x:c>
      <x:c r="K426" t="str">
        <x:v>Lower</x:v>
      </x:c>
      <x:c r="L426" t="n">
        <x:v>480</x:v>
      </x:c>
    </x:row>
    <x:row r="427">
      <x:c r="A427" t="n">
        <x:v>3</x:v>
      </x:c>
      <x:c r="B427" t="n">
        <x:v>1</x:v>
      </x:c>
      <x:c r="C427" t="str">
        <x:v>C</x:v>
      </x:c>
      <x:c r="D427" s="42" t="n">
        <x:v>315</x:v>
      </x:c>
      <x:c r="E427" s="44"/>
      <x:c r="F427" s="44"/>
      <x:c r="G427" s="44"/>
      <x:c r="H427" s="42" t="str">
        <x:f>IF(COUNT(E427:G427)=0,"",E427+IF(F427="",0,F427)-IF(G427="",0,G427))</x:f>
      </x:c>
      <x:c r="I427" s="42" t="str">
        <x:f>IF(H427="","",MAX(0,L427-H427))</x:f>
      </x:c>
      <x:c r="J427" t="str">
        <x:f>IF(H427="","UNKNOWN - inventory not entered",IF(H427&lt;=D427,"REORDER NOW",IF(H427&lt;=1.2*D427,"WATCH","OK")))</x:f>
        <x:v>UNKNOWN - inventory not entered</x:v>
      </x:c>
      <x:c r="K427" t="str">
        <x:v>Lower</x:v>
      </x:c>
      <x:c r="L427" t="n">
        <x:v>474</x:v>
      </x:c>
    </x:row>
    <x:row r="428">
      <x:c r="A428" t="n">
        <x:v>1</x:v>
      </x:c>
      <x:c r="B428" t="n">
        <x:v>37</x:v>
      </x:c>
      <x:c r="C428" t="str">
        <x:v>B</x:v>
      </x:c>
      <x:c r="D428" s="42" t="n">
        <x:v>339</x:v>
      </x:c>
      <x:c r="E428" s="44"/>
      <x:c r="F428" s="44"/>
      <x:c r="G428" s="44"/>
      <x:c r="H428" s="42" t="str">
        <x:f>IF(COUNT(E428:G428)=0,"",E428+IF(F428="",0,F428)-IF(G428="",0,G428))</x:f>
      </x:c>
      <x:c r="I428" s="42" t="str">
        <x:f>IF(H428="","",MAX(0,L428-H428))</x:f>
      </x:c>
      <x:c r="J428" t="str">
        <x:f>IF(H428="","UNKNOWN - inventory not entered",IF(H428&lt;=D428,"REORDER NOW",IF(H428&lt;=1.2*D428,"WATCH","OK")))</x:f>
        <x:v>UNKNOWN - inventory not entered</x:v>
      </x:c>
      <x:c r="K428" t="str">
        <x:v>Lower</x:v>
      </x:c>
      <x:c r="L428" t="n">
        <x:v>490</x:v>
      </x:c>
    </x:row>
    <x:row r="429">
      <x:c r="A429" t="n">
        <x:v>3</x:v>
      </x:c>
      <x:c r="B429" t="n">
        <x:v>41</x:v>
      </x:c>
      <x:c r="C429" t="str">
        <x:v>C</x:v>
      </x:c>
      <x:c r="D429" s="42" t="n">
        <x:v>323</x:v>
      </x:c>
      <x:c r="E429" s="44"/>
      <x:c r="F429" s="44"/>
      <x:c r="G429" s="44"/>
      <x:c r="H429" s="42" t="str">
        <x:f>IF(COUNT(E429:G429)=0,"",E429+IF(F429="",0,F429)-IF(G429="",0,G429))</x:f>
      </x:c>
      <x:c r="I429" s="42" t="str">
        <x:f>IF(H429="","",MAX(0,L429-H429))</x:f>
      </x:c>
      <x:c r="J429" t="str">
        <x:f>IF(H429="","UNKNOWN - inventory not entered",IF(H429&lt;=D429,"REORDER NOW",IF(H429&lt;=1.2*D429,"WATCH","OK")))</x:f>
        <x:v>UNKNOWN - inventory not entered</x:v>
      </x:c>
      <x:c r="K429" t="str">
        <x:v>Lower</x:v>
      </x:c>
      <x:c r="L429" t="n">
        <x:v>460</x:v>
      </x:c>
    </x:row>
    <x:row r="430">
      <x:c r="A430" t="n">
        <x:v>7</x:v>
      </x:c>
      <x:c r="B430" t="n">
        <x:v>42</x:v>
      </x:c>
      <x:c r="C430" t="str">
        <x:v>B</x:v>
      </x:c>
      <x:c r="D430" s="42" t="n">
        <x:v>297</x:v>
      </x:c>
      <x:c r="E430" s="44"/>
      <x:c r="F430" s="44"/>
      <x:c r="G430" s="44"/>
      <x:c r="H430" s="42" t="str">
        <x:f>IF(COUNT(E430:G430)=0,"",E430+IF(F430="",0,F430)-IF(G430="",0,G430))</x:f>
      </x:c>
      <x:c r="I430" s="42" t="str">
        <x:f>IF(H430="","",MAX(0,L430-H430))</x:f>
      </x:c>
      <x:c r="J430" t="str">
        <x:f>IF(H430="","UNKNOWN - inventory not entered",IF(H430&lt;=D430,"REORDER NOW",IF(H430&lt;=1.2*D430,"WATCH","OK")))</x:f>
        <x:v>UNKNOWN - inventory not entered</x:v>
      </x:c>
      <x:c r="K430" t="str">
        <x:v>Lower</x:v>
      </x:c>
      <x:c r="L430" t="n">
        <x:v>450</x:v>
      </x:c>
    </x:row>
    <x:row r="431">
      <x:c r="A431" t="n">
        <x:v>3</x:v>
      </x:c>
      <x:c r="B431" t="n">
        <x:v>27</x:v>
      </x:c>
      <x:c r="C431" t="str">
        <x:v>C</x:v>
      </x:c>
      <x:c r="D431" s="42" t="n">
        <x:v>313</x:v>
      </x:c>
      <x:c r="E431" s="44"/>
      <x:c r="F431" s="44"/>
      <x:c r="G431" s="44"/>
      <x:c r="H431" s="42" t="str">
        <x:f>IF(COUNT(E431:G431)=0,"",E431+IF(F431="",0,F431)-IF(G431="",0,G431))</x:f>
      </x:c>
      <x:c r="I431" s="42" t="str">
        <x:f>IF(H431="","",MAX(0,L431-H431))</x:f>
      </x:c>
      <x:c r="J431" t="str">
        <x:f>IF(H431="","UNKNOWN - inventory not entered",IF(H431&lt;=D431,"REORDER NOW",IF(H431&lt;=1.2*D431,"WATCH","OK")))</x:f>
        <x:v>UNKNOWN - inventory not entered</x:v>
      </x:c>
      <x:c r="K431" t="str">
        <x:v>Lower</x:v>
      </x:c>
      <x:c r="L431" t="n">
        <x:v>455</x:v>
      </x:c>
    </x:row>
    <x:row r="432">
      <x:c r="A432" t="n">
        <x:v>3</x:v>
      </x:c>
      <x:c r="B432" t="n">
        <x:v>4</x:v>
      </x:c>
      <x:c r="C432" t="str">
        <x:v>C</x:v>
      </x:c>
      <x:c r="D432" s="42" t="n">
        <x:v>316</x:v>
      </x:c>
      <x:c r="E432" s="44"/>
      <x:c r="F432" s="44"/>
      <x:c r="G432" s="44"/>
      <x:c r="H432" s="42" t="str">
        <x:f>IF(COUNT(E432:G432)=0,"",E432+IF(F432="",0,F432)-IF(G432="",0,G432))</x:f>
      </x:c>
      <x:c r="I432" s="42" t="str">
        <x:f>IF(H432="","",MAX(0,L432-H432))</x:f>
      </x:c>
      <x:c r="J432" t="str">
        <x:f>IF(H432="","UNKNOWN - inventory not entered",IF(H432&lt;=D432,"REORDER NOW",IF(H432&lt;=1.2*D432,"WATCH","OK")))</x:f>
        <x:v>UNKNOWN - inventory not entered</x:v>
      </x:c>
      <x:c r="K432" t="str">
        <x:v>Lower</x:v>
      </x:c>
      <x:c r="L432" t="n">
        <x:v>474</x:v>
      </x:c>
    </x:row>
    <x:row r="433">
      <x:c r="A433" t="n">
        <x:v>10</x:v>
      </x:c>
      <x:c r="B433" t="n">
        <x:v>41</x:v>
      </x:c>
      <x:c r="C433" t="str">
        <x:v>C</x:v>
      </x:c>
      <x:c r="D433" s="42" t="n">
        <x:v>315</x:v>
      </x:c>
      <x:c r="E433" s="44"/>
      <x:c r="F433" s="44"/>
      <x:c r="G433" s="44"/>
      <x:c r="H433" s="42" t="str">
        <x:f>IF(COUNT(E433:G433)=0,"",E433+IF(F433="",0,F433)-IF(G433="",0,G433))</x:f>
      </x:c>
      <x:c r="I433" s="42" t="str">
        <x:f>IF(H433="","",MAX(0,L433-H433))</x:f>
      </x:c>
      <x:c r="J433" t="str">
        <x:f>IF(H433="","UNKNOWN - inventory not entered",IF(H433&lt;=D433,"REORDER NOW",IF(H433&lt;=1.2*D433,"WATCH","OK")))</x:f>
        <x:v>UNKNOWN - inventory not entered</x:v>
      </x:c>
      <x:c r="K433" t="str">
        <x:v>Lower</x:v>
      </x:c>
      <x:c r="L433" t="n">
        <x:v>445</x:v>
      </x:c>
    </x:row>
    <x:row r="434">
      <x:c r="A434" t="n">
        <x:v>3</x:v>
      </x:c>
      <x:c r="B434" t="n">
        <x:v>47</x:v>
      </x:c>
      <x:c r="C434" t="str">
        <x:v>C</x:v>
      </x:c>
      <x:c r="D434" s="42" t="n">
        <x:v>315</x:v>
      </x:c>
      <x:c r="E434" s="44"/>
      <x:c r="F434" s="44"/>
      <x:c r="G434" s="44"/>
      <x:c r="H434" s="42" t="str">
        <x:f>IF(COUNT(E434:G434)=0,"",E434+IF(F434="",0,F434)-IF(G434="",0,G434))</x:f>
      </x:c>
      <x:c r="I434" s="42" t="str">
        <x:f>IF(H434="","",MAX(0,L434-H434))</x:f>
      </x:c>
      <x:c r="J434" t="str">
        <x:f>IF(H434="","UNKNOWN - inventory not entered",IF(H434&lt;=D434,"REORDER NOW",IF(H434&lt;=1.2*D434,"WATCH","OK")))</x:f>
        <x:v>UNKNOWN - inventory not entered</x:v>
      </x:c>
      <x:c r="K434" t="str">
        <x:v>Lower</x:v>
      </x:c>
      <x:c r="L434" t="n">
        <x:v>453</x:v>
      </x:c>
    </x:row>
    <x:row r="435">
      <x:c r="A435" t="n">
        <x:v>10</x:v>
      </x:c>
      <x:c r="B435" t="n">
        <x:v>47</x:v>
      </x:c>
      <x:c r="C435" t="str">
        <x:v>C</x:v>
      </x:c>
      <x:c r="D435" s="42" t="n">
        <x:v>267</x:v>
      </x:c>
      <x:c r="E435" s="44"/>
      <x:c r="F435" s="44"/>
      <x:c r="G435" s="44"/>
      <x:c r="H435" s="42" t="str">
        <x:f>IF(COUNT(E435:G435)=0,"",E435+IF(F435="",0,F435)-IF(G435="",0,G435))</x:f>
      </x:c>
      <x:c r="I435" s="42" t="str">
        <x:f>IF(H435="","",MAX(0,L435-H435))</x:f>
      </x:c>
      <x:c r="J435" t="str">
        <x:f>IF(H435="","UNKNOWN - inventory not entered",IF(H435&lt;=D435,"REORDER NOW",IF(H435&lt;=1.2*D435,"WATCH","OK")))</x:f>
        <x:v>UNKNOWN - inventory not entered</x:v>
      </x:c>
      <x:c r="K435" t="str">
        <x:v>Lower</x:v>
      </x:c>
      <x:c r="L435" t="n">
        <x:v>414</x:v>
      </x:c>
    </x:row>
    <x:row r="436">
      <x:c r="A436" t="n">
        <x:v>10</x:v>
      </x:c>
      <x:c r="B436" t="n">
        <x:v>4</x:v>
      </x:c>
      <x:c r="C436" t="str">
        <x:v>C</x:v>
      </x:c>
      <x:c r="D436" s="42" t="n">
        <x:v>295</x:v>
      </x:c>
      <x:c r="E436" s="44"/>
      <x:c r="F436" s="44"/>
      <x:c r="G436" s="44"/>
      <x:c r="H436" s="42" t="str">
        <x:f>IF(COUNT(E436:G436)=0,"",E436+IF(F436="",0,F436)-IF(G436="",0,G436))</x:f>
      </x:c>
      <x:c r="I436" s="42" t="str">
        <x:f>IF(H436="","",MAX(0,L436-H436))</x:f>
      </x:c>
      <x:c r="J436" t="str">
        <x:f>IF(H436="","UNKNOWN - inventory not entered",IF(H436&lt;=D436,"REORDER NOW",IF(H436&lt;=1.2*D436,"WATCH","OK")))</x:f>
        <x:v>UNKNOWN - inventory not entered</x:v>
      </x:c>
      <x:c r="K436" t="str">
        <x:v>Lower</x:v>
      </x:c>
      <x:c r="L436" t="n">
        <x:v>457</x:v>
      </x:c>
    </x:row>
    <x:row r="437">
      <x:c r="A437" t="n">
        <x:v>10</x:v>
      </x:c>
      <x:c r="B437" t="n">
        <x:v>1</x:v>
      </x:c>
      <x:c r="C437" t="str">
        <x:v>C</x:v>
      </x:c>
      <x:c r="D437" s="42" t="n">
        <x:v>317</x:v>
      </x:c>
      <x:c r="E437" s="44"/>
      <x:c r="F437" s="44"/>
      <x:c r="G437" s="44"/>
      <x:c r="H437" s="42" t="str">
        <x:f>IF(COUNT(E437:G437)=0,"",E437+IF(F437="",0,F437)-IF(G437="",0,G437))</x:f>
      </x:c>
      <x:c r="I437" s="42" t="str">
        <x:f>IF(H437="","",MAX(0,L437-H437))</x:f>
      </x:c>
      <x:c r="J437" t="str">
        <x:f>IF(H437="","UNKNOWN - inventory not entered",IF(H437&lt;=D437,"REORDER NOW",IF(H437&lt;=1.2*D437,"WATCH","OK")))</x:f>
        <x:v>UNKNOWN - inventory not entered</x:v>
      </x:c>
      <x:c r="K437" t="str">
        <x:v>Lower</x:v>
      </x:c>
      <x:c r="L437" t="n">
        <x:v>448</x:v>
      </x:c>
    </x:row>
    <x:row r="438">
      <x:c r="A438" t="n">
        <x:v>4</x:v>
      </x:c>
      <x:c r="B438" t="n">
        <x:v>47</x:v>
      </x:c>
      <x:c r="C438" t="str">
        <x:v>C</x:v>
      </x:c>
      <x:c r="D438" s="42" t="n">
        <x:v>320</x:v>
      </x:c>
      <x:c r="E438" s="44"/>
      <x:c r="F438" s="44"/>
      <x:c r="G438" s="44"/>
      <x:c r="H438" s="42" t="str">
        <x:f>IF(COUNT(E438:G438)=0,"",E438+IF(F438="",0,F438)-IF(G438="",0,G438))</x:f>
      </x:c>
      <x:c r="I438" s="42" t="str">
        <x:f>IF(H438="","",MAX(0,L438-H438))</x:f>
      </x:c>
      <x:c r="J438" t="str">
        <x:f>IF(H438="","UNKNOWN - inventory not entered",IF(H438&lt;=D438,"REORDER NOW",IF(H438&lt;=1.2*D438,"WATCH","OK")))</x:f>
        <x:v>UNKNOWN - inventory not entered</x:v>
      </x:c>
      <x:c r="K438" t="str">
        <x:v>Lower</x:v>
      </x:c>
      <x:c r="L438" t="n">
        <x:v>447</x:v>
      </x:c>
    </x:row>
    <x:row r="439">
      <x:c r="A439" t="n">
        <x:v>7</x:v>
      </x:c>
      <x:c r="B439" t="n">
        <x:v>3</x:v>
      </x:c>
      <x:c r="C439" t="str">
        <x:v>B</x:v>
      </x:c>
      <x:c r="D439" s="42" t="n">
        <x:v>284</x:v>
      </x:c>
      <x:c r="E439" s="44"/>
      <x:c r="F439" s="44"/>
      <x:c r="G439" s="44"/>
      <x:c r="H439" s="42" t="str">
        <x:f>IF(COUNT(E439:G439)=0,"",E439+IF(F439="",0,F439)-IF(G439="",0,G439))</x:f>
      </x:c>
      <x:c r="I439" s="42" t="str">
        <x:f>IF(H439="","",MAX(0,L439-H439))</x:f>
      </x:c>
      <x:c r="J439" t="str">
        <x:f>IF(H439="","UNKNOWN - inventory not entered",IF(H439&lt;=D439,"REORDER NOW",IF(H439&lt;=1.2*D439,"WATCH","OK")))</x:f>
        <x:v>UNKNOWN - inventory not entered</x:v>
      </x:c>
      <x:c r="K439" t="str">
        <x:v>Lower</x:v>
      </x:c>
      <x:c r="L439" t="n">
        <x:v>420</x:v>
      </x:c>
    </x:row>
    <x:row r="440">
      <x:c r="A440" t="n">
        <x:v>5</x:v>
      </x:c>
      <x:c r="B440" t="n">
        <x:v>17</x:v>
      </x:c>
      <x:c r="C440" t="str">
        <x:v>B</x:v>
      </x:c>
      <x:c r="D440" s="42" t="n">
        <x:v>299</x:v>
      </x:c>
      <x:c r="E440" s="44"/>
      <x:c r="F440" s="44"/>
      <x:c r="G440" s="44"/>
      <x:c r="H440" s="42" t="str">
        <x:f>IF(COUNT(E440:G440)=0,"",E440+IF(F440="",0,F440)-IF(G440="",0,G440))</x:f>
      </x:c>
      <x:c r="I440" s="42" t="str">
        <x:f>IF(H440="","",MAX(0,L440-H440))</x:f>
      </x:c>
      <x:c r="J440" t="str">
        <x:f>IF(H440="","UNKNOWN - inventory not entered",IF(H440&lt;=D440,"REORDER NOW",IF(H440&lt;=1.2*D440,"WATCH","OK")))</x:f>
        <x:v>UNKNOWN - inventory not entered</x:v>
      </x:c>
      <x:c r="K440" t="str">
        <x:v>Lower</x:v>
      </x:c>
      <x:c r="L440" t="n">
        <x:v>460</x:v>
      </x:c>
    </x:row>
    <x:row r="441">
      <x:c r="A441" t="n">
        <x:v>9</x:v>
      </x:c>
      <x:c r="B441" t="n">
        <x:v>47</x:v>
      </x:c>
      <x:c r="C441" t="str">
        <x:v>C</x:v>
      </x:c>
      <x:c r="D441" s="42" t="n">
        <x:v>299</x:v>
      </x:c>
      <x:c r="E441" s="44"/>
      <x:c r="F441" s="44"/>
      <x:c r="G441" s="44"/>
      <x:c r="H441" s="42" t="str">
        <x:f>IF(COUNT(E441:G441)=0,"",E441+IF(F441="",0,F441)-IF(G441="",0,G441))</x:f>
      </x:c>
      <x:c r="I441" s="42" t="str">
        <x:f>IF(H441="","",MAX(0,L441-H441))</x:f>
      </x:c>
      <x:c r="J441" t="str">
        <x:f>IF(H441="","UNKNOWN - inventory not entered",IF(H441&lt;=D441,"REORDER NOW",IF(H441&lt;=1.2*D441,"WATCH","OK")))</x:f>
        <x:v>UNKNOWN - inventory not entered</x:v>
      </x:c>
      <x:c r="K441" t="str">
        <x:v>Lower</x:v>
      </x:c>
      <x:c r="L441" t="n">
        <x:v>446</x:v>
      </x:c>
    </x:row>
    <x:row r="442">
      <x:c r="A442" t="n">
        <x:v>10</x:v>
      </x:c>
      <x:c r="B442" t="n">
        <x:v>27</x:v>
      </x:c>
      <x:c r="C442" t="str">
        <x:v>C</x:v>
      </x:c>
      <x:c r="D442" s="42" t="n">
        <x:v>314</x:v>
      </x:c>
      <x:c r="E442" s="44"/>
      <x:c r="F442" s="44"/>
      <x:c r="G442" s="44"/>
      <x:c r="H442" s="42" t="str">
        <x:f>IF(COUNT(E442:G442)=0,"",E442+IF(F442="",0,F442)-IF(G442="",0,G442))</x:f>
      </x:c>
      <x:c r="I442" s="42" t="str">
        <x:f>IF(H442="","",MAX(0,L442-H442))</x:f>
      </x:c>
      <x:c r="J442" t="str">
        <x:f>IF(H442="","UNKNOWN - inventory not entered",IF(H442&lt;=D442,"REORDER NOW",IF(H442&lt;=1.2*D442,"WATCH","OK")))</x:f>
        <x:v>UNKNOWN - inventory not entered</x:v>
      </x:c>
      <x:c r="K442" t="str">
        <x:v>Lower</x:v>
      </x:c>
      <x:c r="L442" t="n">
        <x:v>440</x:v>
      </x:c>
    </x:row>
    <x:row r="443">
      <x:c r="A443" t="n">
        <x:v>1</x:v>
      </x:c>
      <x:c r="B443" t="n">
        <x:v>16</x:v>
      </x:c>
      <x:c r="C443" t="str">
        <x:v>C</x:v>
      </x:c>
      <x:c r="D443" s="42" t="n">
        <x:v>271</x:v>
      </x:c>
      <x:c r="E443" s="44"/>
      <x:c r="F443" s="44"/>
      <x:c r="G443" s="44"/>
      <x:c r="H443" s="42" t="str">
        <x:f>IF(COUNT(E443:G443)=0,"",E443+IF(F443="",0,F443)-IF(G443="",0,G443))</x:f>
      </x:c>
      <x:c r="I443" s="42" t="str">
        <x:f>IF(H443="","",MAX(0,L443-H443))</x:f>
      </x:c>
      <x:c r="J443" t="str">
        <x:f>IF(H443="","UNKNOWN - inventory not entered",IF(H443&lt;=D443,"REORDER NOW",IF(H443&lt;=1.2*D443,"WATCH","OK")))</x:f>
        <x:v>UNKNOWN - inventory not entered</x:v>
      </x:c>
      <x:c r="K443" t="str">
        <x:v>Lower</x:v>
      </x:c>
      <x:c r="L443" t="n">
        <x:v>411</x:v>
      </x:c>
    </x:row>
    <x:row r="444">
      <x:c r="A444" t="n">
        <x:v>1</x:v>
      </x:c>
      <x:c r="B444" t="n">
        <x:v>34</x:v>
      </x:c>
      <x:c r="C444" t="str">
        <x:v>B</x:v>
      </x:c>
      <x:c r="D444" s="42" t="n">
        <x:v>304</x:v>
      </x:c>
      <x:c r="E444" s="44"/>
      <x:c r="F444" s="44"/>
      <x:c r="G444" s="44"/>
      <x:c r="H444" s="42" t="str">
        <x:f>IF(COUNT(E444:G444)=0,"",E444+IF(F444="",0,F444)-IF(G444="",0,G444))</x:f>
      </x:c>
      <x:c r="I444" s="42" t="str">
        <x:f>IF(H444="","",MAX(0,L444-H444))</x:f>
      </x:c>
      <x:c r="J444" t="str">
        <x:f>IF(H444="","UNKNOWN - inventory not entered",IF(H444&lt;=D444,"REORDER NOW",IF(H444&lt;=1.2*D444,"WATCH","OK")))</x:f>
        <x:v>UNKNOWN - inventory not entered</x:v>
      </x:c>
      <x:c r="K444" t="str">
        <x:v>Lower</x:v>
      </x:c>
      <x:c r="L444" t="n">
        <x:v>455</x:v>
      </x:c>
    </x:row>
    <x:row r="445">
      <x:c r="A445" t="n">
        <x:v>9</x:v>
      </x:c>
      <x:c r="B445" t="n">
        <x:v>1</x:v>
      </x:c>
      <x:c r="C445" t="str">
        <x:v>C</x:v>
      </x:c>
      <x:c r="D445" s="42" t="n">
        <x:v>319</x:v>
      </x:c>
      <x:c r="E445" s="44"/>
      <x:c r="F445" s="44"/>
      <x:c r="G445" s="44"/>
      <x:c r="H445" s="42" t="str">
        <x:f>IF(COUNT(E445:G445)=0,"",E445+IF(F445="",0,F445)-IF(G445="",0,G445))</x:f>
      </x:c>
      <x:c r="I445" s="42" t="str">
        <x:f>IF(H445="","",MAX(0,L445-H445))</x:f>
      </x:c>
      <x:c r="J445" t="str">
        <x:f>IF(H445="","UNKNOWN - inventory not entered",IF(H445&lt;=D445,"REORDER NOW",IF(H445&lt;=1.2*D445,"WATCH","OK")))</x:f>
        <x:v>UNKNOWN - inventory not entered</x:v>
      </x:c>
      <x:c r="K445" t="str">
        <x:v>Lower</x:v>
      </x:c>
      <x:c r="L445" t="n">
        <x:v>455</x:v>
      </x:c>
    </x:row>
    <x:row r="446">
      <x:c r="A446" t="n">
        <x:v>9</x:v>
      </x:c>
      <x:c r="B446" t="n">
        <x:v>41</x:v>
      </x:c>
      <x:c r="C446" t="str">
        <x:v>C</x:v>
      </x:c>
      <x:c r="D446" s="42" t="n">
        <x:v>322</x:v>
      </x:c>
      <x:c r="E446" s="44"/>
      <x:c r="F446" s="44"/>
      <x:c r="G446" s="44"/>
      <x:c r="H446" s="42" t="str">
        <x:f>IF(COUNT(E446:G446)=0,"",E446+IF(F446="",0,F446)-IF(G446="",0,G446))</x:f>
      </x:c>
      <x:c r="I446" s="42" t="str">
        <x:f>IF(H446="","",MAX(0,L446-H446))</x:f>
      </x:c>
      <x:c r="J446" t="str">
        <x:f>IF(H446="","UNKNOWN - inventory not entered",IF(H446&lt;=D446,"REORDER NOW",IF(H446&lt;=1.2*D446,"WATCH","OK")))</x:f>
        <x:v>UNKNOWN - inventory not entered</x:v>
      </x:c>
      <x:c r="K446" t="str">
        <x:v>Lower</x:v>
      </x:c>
      <x:c r="L446" t="n">
        <x:v>436</x:v>
      </x:c>
    </x:row>
    <x:row r="447">
      <x:c r="A447" t="n">
        <x:v>4</x:v>
      </x:c>
      <x:c r="B447" t="n">
        <x:v>27</x:v>
      </x:c>
      <x:c r="C447" t="str">
        <x:v>C</x:v>
      </x:c>
      <x:c r="D447" s="42" t="n">
        <x:v>284</x:v>
      </x:c>
      <x:c r="E447" s="44"/>
      <x:c r="F447" s="44"/>
      <x:c r="G447" s="44"/>
      <x:c r="H447" s="42" t="str">
        <x:f>IF(COUNT(E447:G447)=0,"",E447+IF(F447="",0,F447)-IF(G447="",0,G447))</x:f>
      </x:c>
      <x:c r="I447" s="42" t="str">
        <x:f>IF(H447="","",MAX(0,L447-H447))</x:f>
      </x:c>
      <x:c r="J447" t="str">
        <x:f>IF(H447="","UNKNOWN - inventory not entered",IF(H447&lt;=D447,"REORDER NOW",IF(H447&lt;=1.2*D447,"WATCH","OK")))</x:f>
        <x:v>UNKNOWN - inventory not entered</x:v>
      </x:c>
      <x:c r="K447" t="str">
        <x:v>Lower</x:v>
      </x:c>
      <x:c r="L447" t="n">
        <x:v>424</x:v>
      </x:c>
    </x:row>
    <x:row r="448">
      <x:c r="A448" t="n">
        <x:v>2</x:v>
      </x:c>
      <x:c r="B448" t="n">
        <x:v>5</x:v>
      </x:c>
      <x:c r="C448" t="str">
        <x:v>C</x:v>
      </x:c>
      <x:c r="D448" s="42" t="n">
        <x:v>283</x:v>
      </x:c>
      <x:c r="E448" s="44"/>
      <x:c r="F448" s="44"/>
      <x:c r="G448" s="44"/>
      <x:c r="H448" s="42" t="str">
        <x:f>IF(COUNT(E448:G448)=0,"",E448+IF(F448="",0,F448)-IF(G448="",0,G448))</x:f>
      </x:c>
      <x:c r="I448" s="42" t="str">
        <x:f>IF(H448="","",MAX(0,L448-H448))</x:f>
      </x:c>
      <x:c r="J448" t="str">
        <x:f>IF(H448="","UNKNOWN - inventory not entered",IF(H448&lt;=D448,"REORDER NOW",IF(H448&lt;=1.2*D448,"WATCH","OK")))</x:f>
        <x:v>UNKNOWN - inventory not entered</x:v>
      </x:c>
      <x:c r="K448" t="str">
        <x:v>Lower</x:v>
      </x:c>
      <x:c r="L448" t="n">
        <x:v>452</x:v>
      </x:c>
    </x:row>
    <x:row r="449">
      <x:c r="A449" t="n">
        <x:v>5</x:v>
      </x:c>
      <x:c r="B449" t="n">
        <x:v>37</x:v>
      </x:c>
      <x:c r="C449" t="str">
        <x:v>B</x:v>
      </x:c>
      <x:c r="D449" s="42" t="n">
        <x:v>289</x:v>
      </x:c>
      <x:c r="E449" s="44"/>
      <x:c r="F449" s="44"/>
      <x:c r="G449" s="44"/>
      <x:c r="H449" s="42" t="str">
        <x:f>IF(COUNT(E449:G449)=0,"",E449+IF(F449="",0,F449)-IF(G449="",0,G449))</x:f>
      </x:c>
      <x:c r="I449" s="42" t="str">
        <x:f>IF(H449="","",MAX(0,L449-H449))</x:f>
      </x:c>
      <x:c r="J449" t="str">
        <x:f>IF(H449="","UNKNOWN - inventory not entered",IF(H449&lt;=D449,"REORDER NOW",IF(H449&lt;=1.2*D449,"WATCH","OK")))</x:f>
        <x:v>UNKNOWN - inventory not entered</x:v>
      </x:c>
      <x:c r="K449" t="str">
        <x:v>Lower</x:v>
      </x:c>
      <x:c r="L449" t="n">
        <x:v>415</x:v>
      </x:c>
    </x:row>
    <x:row r="450">
      <x:c r="A450" t="n">
        <x:v>9</x:v>
      </x:c>
      <x:c r="B450" t="n">
        <x:v>27</x:v>
      </x:c>
      <x:c r="C450" t="str">
        <x:v>C</x:v>
      </x:c>
      <x:c r="D450" s="42" t="n">
        <x:v>266</x:v>
      </x:c>
      <x:c r="E450" s="44"/>
      <x:c r="F450" s="44"/>
      <x:c r="G450" s="44"/>
      <x:c r="H450" s="42" t="str">
        <x:f>IF(COUNT(E450:G450)=0,"",E450+IF(F450="",0,F450)-IF(G450="",0,G450))</x:f>
      </x:c>
      <x:c r="I450" s="42" t="str">
        <x:f>IF(H450="","",MAX(0,L450-H450))</x:f>
      </x:c>
      <x:c r="J450" t="str">
        <x:f>IF(H450="","UNKNOWN - inventory not entered",IF(H450&lt;=D450,"REORDER NOW",IF(H450&lt;=1.2*D450,"WATCH","OK")))</x:f>
        <x:v>UNKNOWN - inventory not entered</x:v>
      </x:c>
      <x:c r="K450" t="str">
        <x:v>Lower</x:v>
      </x:c>
      <x:c r="L450" t="n">
        <x:v>398</x:v>
      </x:c>
    </x:row>
    <x:row r="451">
      <x:c r="A451" t="n">
        <x:v>4</x:v>
      </x:c>
      <x:c r="B451" t="n">
        <x:v>41</x:v>
      </x:c>
      <x:c r="C451" t="str">
        <x:v>C</x:v>
      </x:c>
      <x:c r="D451" s="42" t="n">
        <x:v>280</x:v>
      </x:c>
      <x:c r="E451" s="44"/>
      <x:c r="F451" s="44"/>
      <x:c r="G451" s="44"/>
      <x:c r="H451" s="42" t="str">
        <x:f>IF(COUNT(E451:G451)=0,"",E451+IF(F451="",0,F451)-IF(G451="",0,G451))</x:f>
      </x:c>
      <x:c r="I451" s="42" t="str">
        <x:f>IF(H451="","",MAX(0,L451-H451))</x:f>
      </x:c>
      <x:c r="J451" t="str">
        <x:f>IF(H451="","UNKNOWN - inventory not entered",IF(H451&lt;=D451,"REORDER NOW",IF(H451&lt;=1.2*D451,"WATCH","OK")))</x:f>
        <x:v>UNKNOWN - inventory not entered</x:v>
      </x:c>
      <x:c r="K451" t="str">
        <x:v>Lower</x:v>
      </x:c>
      <x:c r="L451" t="n">
        <x:v>414</x:v>
      </x:c>
    </x:row>
    <x:row r="452">
      <x:c r="A452" t="n">
        <x:v>7</x:v>
      </x:c>
      <x:c r="B452" t="n">
        <x:v>17</x:v>
      </x:c>
      <x:c r="C452" t="str">
        <x:v>B</x:v>
      </x:c>
      <x:c r="D452" s="42" t="n">
        <x:v>311</x:v>
      </x:c>
      <x:c r="E452" s="44"/>
      <x:c r="F452" s="44"/>
      <x:c r="G452" s="44"/>
      <x:c r="H452" s="42" t="str">
        <x:f>IF(COUNT(E452:G452)=0,"",E452+IF(F452="",0,F452)-IF(G452="",0,G452))</x:f>
      </x:c>
      <x:c r="I452" s="42" t="str">
        <x:f>IF(H452="","",MAX(0,L452-H452))</x:f>
      </x:c>
      <x:c r="J452" t="str">
        <x:f>IF(H452="","UNKNOWN - inventory not entered",IF(H452&lt;=D452,"REORDER NOW",IF(H452&lt;=1.2*D452,"WATCH","OK")))</x:f>
        <x:v>UNKNOWN - inventory not entered</x:v>
      </x:c>
      <x:c r="K452" t="str">
        <x:v>Lower</x:v>
      </x:c>
      <x:c r="L452" t="n">
        <x:v>428</x:v>
      </x:c>
    </x:row>
    <x:row r="453">
      <x:c r="A453" t="n">
        <x:v>4</x:v>
      </x:c>
      <x:c r="B453" t="n">
        <x:v>1</x:v>
      </x:c>
      <x:c r="C453" t="str">
        <x:v>C</x:v>
      </x:c>
      <x:c r="D453" s="42" t="n">
        <x:v>312</x:v>
      </x:c>
      <x:c r="E453" s="44"/>
      <x:c r="F453" s="44"/>
      <x:c r="G453" s="44"/>
      <x:c r="H453" s="42" t="str">
        <x:f>IF(COUNT(E453:G453)=0,"",E453+IF(F453="",0,F453)-IF(G453="",0,G453))</x:f>
      </x:c>
      <x:c r="I453" s="42" t="str">
        <x:f>IF(H453="","",MAX(0,L453-H453))</x:f>
      </x:c>
      <x:c r="J453" t="str">
        <x:f>IF(H453="","UNKNOWN - inventory not entered",IF(H453&lt;=D453,"REORDER NOW",IF(H453&lt;=1.2*D453,"WATCH","OK")))</x:f>
        <x:v>UNKNOWN - inventory not entered</x:v>
      </x:c>
      <x:c r="K453" t="str">
        <x:v>Lower</x:v>
      </x:c>
      <x:c r="L453" t="n">
        <x:v>458</x:v>
      </x:c>
    </x:row>
    <x:row r="454">
      <x:c r="A454" t="n">
        <x:v>4</x:v>
      </x:c>
      <x:c r="B454" t="n">
        <x:v>4</x:v>
      </x:c>
      <x:c r="C454" t="str">
        <x:v>C</x:v>
      </x:c>
      <x:c r="D454" s="42" t="n">
        <x:v>298</x:v>
      </x:c>
      <x:c r="E454" s="44"/>
      <x:c r="F454" s="44"/>
      <x:c r="G454" s="44"/>
      <x:c r="H454" s="42" t="str">
        <x:f>IF(COUNT(E454:G454)=0,"",E454+IF(F454="",0,F454)-IF(G454="",0,G454))</x:f>
      </x:c>
      <x:c r="I454" s="42" t="str">
        <x:f>IF(H454="","",MAX(0,L454-H454))</x:f>
      </x:c>
      <x:c r="J454" t="str">
        <x:f>IF(H454="","UNKNOWN - inventory not entered",IF(H454&lt;=D454,"REORDER NOW",IF(H454&lt;=1.2*D454,"WATCH","OK")))</x:f>
        <x:v>UNKNOWN - inventory not entered</x:v>
      </x:c>
      <x:c r="K454" t="str">
        <x:v>Lower</x:v>
      </x:c>
      <x:c r="L454" t="n">
        <x:v>429</x:v>
      </x:c>
    </x:row>
    <x:row r="455">
      <x:c r="A455" t="n">
        <x:v>6</x:v>
      </x:c>
      <x:c r="B455" t="n">
        <x:v>37</x:v>
      </x:c>
      <x:c r="C455" t="str">
        <x:v>B</x:v>
      </x:c>
      <x:c r="D455" s="42" t="n">
        <x:v>293</x:v>
      </x:c>
      <x:c r="E455" s="44"/>
      <x:c r="F455" s="44"/>
      <x:c r="G455" s="44"/>
      <x:c r="H455" s="42" t="str">
        <x:f>IF(COUNT(E455:G455)=0,"",E455+IF(F455="",0,F455)-IF(G455="",0,G455))</x:f>
      </x:c>
      <x:c r="I455" s="42" t="str">
        <x:f>IF(H455="","",MAX(0,L455-H455))</x:f>
      </x:c>
      <x:c r="J455" t="str">
        <x:f>IF(H455="","UNKNOWN - inventory not entered",IF(H455&lt;=D455,"REORDER NOW",IF(H455&lt;=1.2*D455,"WATCH","OK")))</x:f>
        <x:v>UNKNOWN - inventory not entered</x:v>
      </x:c>
      <x:c r="K455" t="str">
        <x:v>Lower</x:v>
      </x:c>
      <x:c r="L455" t="n">
        <x:v>420</x:v>
      </x:c>
    </x:row>
    <x:row r="456">
      <x:c r="A456" t="n">
        <x:v>5</x:v>
      </x:c>
      <x:c r="B456" t="n">
        <x:v>49</x:v>
      </x:c>
      <x:c r="C456" t="str">
        <x:v>B</x:v>
      </x:c>
      <x:c r="D456" s="42" t="n">
        <x:v>288</x:v>
      </x:c>
      <x:c r="E456" s="44"/>
      <x:c r="F456" s="44"/>
      <x:c r="G456" s="44"/>
      <x:c r="H456" s="42" t="str">
        <x:f>IF(COUNT(E456:G456)=0,"",E456+IF(F456="",0,F456)-IF(G456="",0,G456))</x:f>
      </x:c>
      <x:c r="I456" s="42" t="str">
        <x:f>IF(H456="","",MAX(0,L456-H456))</x:f>
      </x:c>
      <x:c r="J456" t="str">
        <x:f>IF(H456="","UNKNOWN - inventory not entered",IF(H456&lt;=D456,"REORDER NOW",IF(H456&lt;=1.2*D456,"WATCH","OK")))</x:f>
        <x:v>UNKNOWN - inventory not entered</x:v>
      </x:c>
      <x:c r="K456" t="str">
        <x:v>Lower</x:v>
      </x:c>
      <x:c r="L456" t="n">
        <x:v>400</x:v>
      </x:c>
    </x:row>
    <x:row r="457">
      <x:c r="A457" t="n">
        <x:v>9</x:v>
      </x:c>
      <x:c r="B457" t="n">
        <x:v>4</x:v>
      </x:c>
      <x:c r="C457" t="str">
        <x:v>C</x:v>
      </x:c>
      <x:c r="D457" s="42" t="n">
        <x:v>272</x:v>
      </x:c>
      <x:c r="E457" s="44"/>
      <x:c r="F457" s="44"/>
      <x:c r="G457" s="44"/>
      <x:c r="H457" s="42" t="str">
        <x:f>IF(COUNT(E457:G457)=0,"",E457+IF(F457="",0,F457)-IF(G457="",0,G457))</x:f>
      </x:c>
      <x:c r="I457" s="42" t="str">
        <x:f>IF(H457="","",MAX(0,L457-H457))</x:f>
      </x:c>
      <x:c r="J457" t="str">
        <x:f>IF(H457="","UNKNOWN - inventory not entered",IF(H457&lt;=D457,"REORDER NOW",IF(H457&lt;=1.2*D457,"WATCH","OK")))</x:f>
        <x:v>UNKNOWN - inventory not entered</x:v>
      </x:c>
      <x:c r="K457" t="str">
        <x:v>Lower</x:v>
      </x:c>
      <x:c r="L457" t="n">
        <x:v>416</x:v>
      </x:c>
    </x:row>
    <x:row r="458">
      <x:c r="A458" t="n">
        <x:v>6</x:v>
      </x:c>
      <x:c r="B458" t="n">
        <x:v>49</x:v>
      </x:c>
      <x:c r="C458" t="str">
        <x:v>B</x:v>
      </x:c>
      <x:c r="D458" s="42" t="n">
        <x:v>283</x:v>
      </x:c>
      <x:c r="E458" s="44"/>
      <x:c r="F458" s="44"/>
      <x:c r="G458" s="44"/>
      <x:c r="H458" s="42" t="str">
        <x:f>IF(COUNT(E458:G458)=0,"",E458+IF(F458="",0,F458)-IF(G458="",0,G458))</x:f>
      </x:c>
      <x:c r="I458" s="42" t="str">
        <x:f>IF(H458="","",MAX(0,L458-H458))</x:f>
      </x:c>
      <x:c r="J458" t="str">
        <x:f>IF(H458="","UNKNOWN - inventory not entered",IF(H458&lt;=D458,"REORDER NOW",IF(H458&lt;=1.2*D458,"WATCH","OK")))</x:f>
        <x:v>UNKNOWN - inventory not entered</x:v>
      </x:c>
      <x:c r="K458" t="str">
        <x:v>Lower</x:v>
      </x:c>
      <x:c r="L458" t="n">
        <x:v>404</x:v>
      </x:c>
    </x:row>
    <x:row r="459">
      <x:c r="A459" t="n">
        <x:v>6</x:v>
      </x:c>
      <x:c r="B459" t="n">
        <x:v>40</x:v>
      </x:c>
      <x:c r="C459" t="str">
        <x:v>B</x:v>
      </x:c>
      <x:c r="D459" s="42" t="n">
        <x:v>275</x:v>
      </x:c>
      <x:c r="E459" s="44"/>
      <x:c r="F459" s="44"/>
      <x:c r="G459" s="44"/>
      <x:c r="H459" s="42" t="str">
        <x:f>IF(COUNT(E459:G459)=0,"",E459+IF(F459="",0,F459)-IF(G459="",0,G459))</x:f>
      </x:c>
      <x:c r="I459" s="42" t="str">
        <x:f>IF(H459="","",MAX(0,L459-H459))</x:f>
      </x:c>
      <x:c r="J459" t="str">
        <x:f>IF(H459="","UNKNOWN - inventory not entered",IF(H459&lt;=D459,"REORDER NOW",IF(H459&lt;=1.2*D459,"WATCH","OK")))</x:f>
        <x:v>UNKNOWN - inventory not entered</x:v>
      </x:c>
      <x:c r="K459" t="str">
        <x:v>Lower</x:v>
      </x:c>
      <x:c r="L459" t="n">
        <x:v>420</x:v>
      </x:c>
    </x:row>
    <x:row r="460">
      <x:c r="A460" t="n">
        <x:v>6</x:v>
      </x:c>
      <x:c r="B460" t="n">
        <x:v>44</x:v>
      </x:c>
      <x:c r="C460" t="str">
        <x:v>B</x:v>
      </x:c>
      <x:c r="D460" s="42" t="n">
        <x:v>290</x:v>
      </x:c>
      <x:c r="E460" s="44"/>
      <x:c r="F460" s="44"/>
      <x:c r="G460" s="44"/>
      <x:c r="H460" s="42" t="str">
        <x:f>IF(COUNT(E460:G460)=0,"",E460+IF(F460="",0,F460)-IF(G460="",0,G460))</x:f>
      </x:c>
      <x:c r="I460" s="42" t="str">
        <x:f>IF(H460="","",MAX(0,L460-H460))</x:f>
      </x:c>
      <x:c r="J460" t="str">
        <x:f>IF(H460="","UNKNOWN - inventory not entered",IF(H460&lt;=D460,"REORDER NOW",IF(H460&lt;=1.2*D460,"WATCH","OK")))</x:f>
        <x:v>UNKNOWN - inventory not entered</x:v>
      </x:c>
      <x:c r="K460" t="str">
        <x:v>Lower</x:v>
      </x:c>
      <x:c r="L460" t="n">
        <x:v>454</x:v>
      </x:c>
    </x:row>
    <x:row r="461">
      <x:c r="A461" t="n">
        <x:v>5</x:v>
      </x:c>
      <x:c r="B461" t="n">
        <x:v>40</x:v>
      </x:c>
      <x:c r="C461" t="str">
        <x:v>B</x:v>
      </x:c>
      <x:c r="D461" s="42" t="n">
        <x:v>269</x:v>
      </x:c>
      <x:c r="E461" s="44"/>
      <x:c r="F461" s="44"/>
      <x:c r="G461" s="44"/>
      <x:c r="H461" s="42" t="str">
        <x:f>IF(COUNT(E461:G461)=0,"",E461+IF(F461="",0,F461)-IF(G461="",0,G461))</x:f>
      </x:c>
      <x:c r="I461" s="42" t="str">
        <x:f>IF(H461="","",MAX(0,L461-H461))</x:f>
      </x:c>
      <x:c r="J461" t="str">
        <x:f>IF(H461="","UNKNOWN - inventory not entered",IF(H461&lt;=D461,"REORDER NOW",IF(H461&lt;=1.2*D461,"WATCH","OK")))</x:f>
        <x:v>UNKNOWN - inventory not entered</x:v>
      </x:c>
      <x:c r="K461" t="str">
        <x:v>Lower</x:v>
      </x:c>
      <x:c r="L461" t="n">
        <x:v>386</x:v>
      </x:c>
    </x:row>
    <x:row r="462">
      <x:c r="A462" t="n">
        <x:v>5</x:v>
      </x:c>
      <x:c r="B462" t="n">
        <x:v>23</x:v>
      </x:c>
      <x:c r="C462" t="str">
        <x:v>B</x:v>
      </x:c>
      <x:c r="D462" s="42" t="n">
        <x:v>313</x:v>
      </x:c>
      <x:c r="E462" s="44"/>
      <x:c r="F462" s="44"/>
      <x:c r="G462" s="44"/>
      <x:c r="H462" s="42" t="str">
        <x:f>IF(COUNT(E462:G462)=0,"",E462+IF(F462="",0,F462)-IF(G462="",0,G462))</x:f>
      </x:c>
      <x:c r="I462" s="42" t="str">
        <x:f>IF(H462="","",MAX(0,L462-H462))</x:f>
      </x:c>
      <x:c r="J462" t="str">
        <x:f>IF(H462="","UNKNOWN - inventory not entered",IF(H462&lt;=D462,"REORDER NOW",IF(H462&lt;=1.2*D462,"WATCH","OK")))</x:f>
        <x:v>UNKNOWN - inventory not entered</x:v>
      </x:c>
      <x:c r="K462" t="str">
        <x:v>Lower</x:v>
      </x:c>
      <x:c r="L462" t="n">
        <x:v>424</x:v>
      </x:c>
    </x:row>
    <x:row r="463">
      <x:c r="A463" t="n">
        <x:v>6</x:v>
      </x:c>
      <x:c r="B463" t="n">
        <x:v>23</x:v>
      </x:c>
      <x:c r="C463" t="str">
        <x:v>B</x:v>
      </x:c>
      <x:c r="D463" s="42" t="n">
        <x:v>293</x:v>
      </x:c>
      <x:c r="E463" s="44"/>
      <x:c r="F463" s="44"/>
      <x:c r="G463" s="44"/>
      <x:c r="H463" s="42" t="str">
        <x:f>IF(COUNT(E463:G463)=0,"",E463+IF(F463="",0,F463)-IF(G463="",0,G463))</x:f>
      </x:c>
      <x:c r="I463" s="42" t="str">
        <x:f>IF(H463="","",MAX(0,L463-H463))</x:f>
      </x:c>
      <x:c r="J463" t="str">
        <x:f>IF(H463="","UNKNOWN - inventory not entered",IF(H463&lt;=D463,"REORDER NOW",IF(H463&lt;=1.2*D463,"WATCH","OK")))</x:f>
        <x:v>UNKNOWN - inventory not entered</x:v>
      </x:c>
      <x:c r="K463" t="str">
        <x:v>Lower</x:v>
      </x:c>
      <x:c r="L463" t="n">
        <x:v>410</x:v>
      </x:c>
    </x:row>
    <x:row r="464">
      <x:c r="A464" t="n">
        <x:v>5</x:v>
      </x:c>
      <x:c r="B464" t="n">
        <x:v>44</x:v>
      </x:c>
      <x:c r="C464" t="str">
        <x:v>B</x:v>
      </x:c>
      <x:c r="D464" s="42" t="n">
        <x:v>295</x:v>
      </x:c>
      <x:c r="E464" s="44"/>
      <x:c r="F464" s="44"/>
      <x:c r="G464" s="44"/>
      <x:c r="H464" s="42" t="str">
        <x:f>IF(COUNT(E464:G464)=0,"",E464+IF(F464="",0,F464)-IF(G464="",0,G464))</x:f>
      </x:c>
      <x:c r="I464" s="42" t="str">
        <x:f>IF(H464="","",MAX(0,L464-H464))</x:f>
      </x:c>
      <x:c r="J464" t="str">
        <x:f>IF(H464="","UNKNOWN - inventory not entered",IF(H464&lt;=D464,"REORDER NOW",IF(H464&lt;=1.2*D464,"WATCH","OK")))</x:f>
        <x:v>UNKNOWN - inventory not entered</x:v>
      </x:c>
      <x:c r="K464" t="str">
        <x:v>Lower</x:v>
      </x:c>
      <x:c r="L464" t="n">
        <x:v>415</x:v>
      </x:c>
    </x:row>
    <x:row r="465">
      <x:c r="A465" t="n">
        <x:v>8</x:v>
      </x:c>
      <x:c r="B465" t="n">
        <x:v>5</x:v>
      </x:c>
      <x:c r="C465" t="str">
        <x:v>C</x:v>
      </x:c>
      <x:c r="D465" s="42" t="n">
        <x:v>277</x:v>
      </x:c>
      <x:c r="E465" s="44"/>
      <x:c r="F465" s="44"/>
      <x:c r="G465" s="44"/>
      <x:c r="H465" s="42" t="str">
        <x:f>IF(COUNT(E465:G465)=0,"",E465+IF(F465="",0,F465)-IF(G465="",0,G465))</x:f>
      </x:c>
      <x:c r="I465" s="42" t="str">
        <x:f>IF(H465="","",MAX(0,L465-H465))</x:f>
      </x:c>
      <x:c r="J465" t="str">
        <x:f>IF(H465="","UNKNOWN - inventory not entered",IF(H465&lt;=D465,"REORDER NOW",IF(H465&lt;=1.2*D465,"WATCH","OK")))</x:f>
        <x:v>UNKNOWN - inventory not entered</x:v>
      </x:c>
      <x:c r="K465" t="str">
        <x:v>Lower</x:v>
      </x:c>
      <x:c r="L465" t="n">
        <x:v>416</x:v>
      </x:c>
    </x:row>
    <x:row r="466">
      <x:c r="A466" t="n">
        <x:v>10</x:v>
      </x:c>
      <x:c r="B466" t="n">
        <x:v>5</x:v>
      </x:c>
      <x:c r="C466" t="str">
        <x:v>C</x:v>
      </x:c>
      <x:c r="D466" s="42" t="n">
        <x:v>284</x:v>
      </x:c>
      <x:c r="E466" s="44"/>
      <x:c r="F466" s="44"/>
      <x:c r="G466" s="44"/>
      <x:c r="H466" s="42" t="str">
        <x:f>IF(COUNT(E466:G466)=0,"",E466+IF(F466="",0,F466)-IF(G466="",0,G466))</x:f>
      </x:c>
      <x:c r="I466" s="42" t="str">
        <x:f>IF(H466="","",MAX(0,L466-H466))</x:f>
      </x:c>
      <x:c r="J466" t="str">
        <x:f>IF(H466="","UNKNOWN - inventory not entered",IF(H466&lt;=D466,"REORDER NOW",IF(H466&lt;=1.2*D466,"WATCH","OK")))</x:f>
        <x:v>UNKNOWN - inventory not entered</x:v>
      </x:c>
      <x:c r="K466" t="str">
        <x:v>Lower</x:v>
      </x:c>
      <x:c r="L466" t="n">
        <x:v>413</x:v>
      </x:c>
    </x:row>
    <x:row r="467">
      <x:c r="A467" t="n">
        <x:v>3</x:v>
      </x:c>
      <x:c r="B467" t="n">
        <x:v>5</x:v>
      </x:c>
      <x:c r="C467" t="str">
        <x:v>C</x:v>
      </x:c>
      <x:c r="D467" s="42" t="n">
        <x:v>268</x:v>
      </x:c>
      <x:c r="E467" s="44"/>
      <x:c r="F467" s="44"/>
      <x:c r="G467" s="44"/>
      <x:c r="H467" s="42" t="str">
        <x:f>IF(COUNT(E467:G467)=0,"",E467+IF(F467="",0,F467)-IF(G467="",0,G467))</x:f>
      </x:c>
      <x:c r="I467" s="42" t="str">
        <x:f>IF(H467="","",MAX(0,L467-H467))</x:f>
      </x:c>
      <x:c r="J467" t="str">
        <x:f>IF(H467="","UNKNOWN - inventory not entered",IF(H467&lt;=D467,"REORDER NOW",IF(H467&lt;=1.2*D467,"WATCH","OK")))</x:f>
        <x:v>UNKNOWN - inventory not entered</x:v>
      </x:c>
      <x:c r="K467" t="str">
        <x:v>Lower</x:v>
      </x:c>
      <x:c r="L467" t="n">
        <x:v>407</x:v>
      </x:c>
    </x:row>
    <x:row r="468">
      <x:c r="A468" t="n">
        <x:v>7</x:v>
      </x:c>
      <x:c r="B468" t="n">
        <x:v>23</x:v>
      </x:c>
      <x:c r="C468" t="str">
        <x:v>B</x:v>
      </x:c>
      <x:c r="D468" s="42" t="n">
        <x:v>255</x:v>
      </x:c>
      <x:c r="E468" s="44"/>
      <x:c r="F468" s="44"/>
      <x:c r="G468" s="44"/>
      <x:c r="H468" s="42" t="str">
        <x:f>IF(COUNT(E468:G468)=0,"",E468+IF(F468="",0,F468)-IF(G468="",0,G468))</x:f>
      </x:c>
      <x:c r="I468" s="42" t="str">
        <x:f>IF(H468="","",MAX(0,L468-H468))</x:f>
      </x:c>
      <x:c r="J468" t="str">
        <x:f>IF(H468="","UNKNOWN - inventory not entered",IF(H468&lt;=D468,"REORDER NOW",IF(H468&lt;=1.2*D468,"WATCH","OK")))</x:f>
        <x:v>UNKNOWN - inventory not entered</x:v>
      </x:c>
      <x:c r="K468" t="str">
        <x:v>Lower</x:v>
      </x:c>
      <x:c r="L468" t="n">
        <x:v>367</x:v>
      </x:c>
    </x:row>
    <x:row r="469">
      <x:c r="A469" t="n">
        <x:v>7</x:v>
      </x:c>
      <x:c r="B469" t="n">
        <x:v>49</x:v>
      </x:c>
      <x:c r="C469" t="str">
        <x:v>B</x:v>
      </x:c>
      <x:c r="D469" s="42" t="n">
        <x:v>236</x:v>
      </x:c>
      <x:c r="E469" s="44"/>
      <x:c r="F469" s="44"/>
      <x:c r="G469" s="44"/>
      <x:c r="H469" s="42" t="str">
        <x:f>IF(COUNT(E469:G469)=0,"",E469+IF(F469="",0,F469)-IF(G469="",0,G469))</x:f>
      </x:c>
      <x:c r="I469" s="42" t="str">
        <x:f>IF(H469="","",MAX(0,L469-H469))</x:f>
      </x:c>
      <x:c r="J469" t="str">
        <x:f>IF(H469="","UNKNOWN - inventory not entered",IF(H469&lt;=D469,"REORDER NOW",IF(H469&lt;=1.2*D469,"WATCH","OK")))</x:f>
        <x:v>UNKNOWN - inventory not entered</x:v>
      </x:c>
      <x:c r="K469" t="str">
        <x:v>Lower</x:v>
      </x:c>
      <x:c r="L469" t="n">
        <x:v>361</x:v>
      </x:c>
    </x:row>
    <x:row r="470">
      <x:c r="A470" t="n">
        <x:v>7</x:v>
      </x:c>
      <x:c r="B470" t="n">
        <x:v>37</x:v>
      </x:c>
      <x:c r="C470" t="str">
        <x:v>B</x:v>
      </x:c>
      <x:c r="D470" s="42" t="n">
        <x:v>274</x:v>
      </x:c>
      <x:c r="E470" s="44"/>
      <x:c r="F470" s="44"/>
      <x:c r="G470" s="44"/>
      <x:c r="H470" s="42" t="str">
        <x:f>IF(COUNT(E470:G470)=0,"",E470+IF(F470="",0,F470)-IF(G470="",0,G470))</x:f>
      </x:c>
      <x:c r="I470" s="42" t="str">
        <x:f>IF(H470="","",MAX(0,L470-H470))</x:f>
      </x:c>
      <x:c r="J470" t="str">
        <x:f>IF(H470="","UNKNOWN - inventory not entered",IF(H470&lt;=D470,"REORDER NOW",IF(H470&lt;=1.2*D470,"WATCH","OK")))</x:f>
        <x:v>UNKNOWN - inventory not entered</x:v>
      </x:c>
      <x:c r="K470" t="str">
        <x:v>Lower</x:v>
      </x:c>
      <x:c r="L470" t="n">
        <x:v>398</x:v>
      </x:c>
    </x:row>
    <x:row r="471">
      <x:c r="A471" t="n">
        <x:v>6</x:v>
      </x:c>
      <x:c r="B471" t="n">
        <x:v>16</x:v>
      </x:c>
      <x:c r="C471" t="str">
        <x:v>C</x:v>
      </x:c>
      <x:c r="D471" s="42" t="n">
        <x:v>288</x:v>
      </x:c>
      <x:c r="E471" s="44"/>
      <x:c r="F471" s="44"/>
      <x:c r="G471" s="44"/>
      <x:c r="H471" s="42" t="str">
        <x:f>IF(COUNT(E471:G471)=0,"",E471+IF(F471="",0,F471)-IF(G471="",0,G471))</x:f>
      </x:c>
      <x:c r="I471" s="42" t="str">
        <x:f>IF(H471="","",MAX(0,L471-H471))</x:f>
      </x:c>
      <x:c r="J471" t="str">
        <x:f>IF(H471="","UNKNOWN - inventory not entered",IF(H471&lt;=D471,"REORDER NOW",IF(H471&lt;=1.2*D471,"WATCH","OK")))</x:f>
        <x:v>UNKNOWN - inventory not entered</x:v>
      </x:c>
      <x:c r="K471" t="str">
        <x:v>Lower</x:v>
      </x:c>
      <x:c r="L471" t="n">
        <x:v>408</x:v>
      </x:c>
    </x:row>
    <x:row r="472">
      <x:c r="A472" t="n">
        <x:v>9</x:v>
      </x:c>
      <x:c r="B472" t="n">
        <x:v>5</x:v>
      </x:c>
      <x:c r="C472" t="str">
        <x:v>C</x:v>
      </x:c>
      <x:c r="D472" s="42" t="n">
        <x:v>239</x:v>
      </x:c>
      <x:c r="E472" s="44"/>
      <x:c r="F472" s="44"/>
      <x:c r="G472" s="44"/>
      <x:c r="H472" s="42" t="str">
        <x:f>IF(COUNT(E472:G472)=0,"",E472+IF(F472="",0,F472)-IF(G472="",0,G472))</x:f>
      </x:c>
      <x:c r="I472" s="42" t="str">
        <x:f>IF(H472="","",MAX(0,L472-H472))</x:f>
      </x:c>
      <x:c r="J472" t="str">
        <x:f>IF(H472="","UNKNOWN - inventory not entered",IF(H472&lt;=D472,"REORDER NOW",IF(H472&lt;=1.2*D472,"WATCH","OK")))</x:f>
        <x:v>UNKNOWN - inventory not entered</x:v>
      </x:c>
      <x:c r="K472" t="str">
        <x:v>Lower</x:v>
      </x:c>
      <x:c r="L472" t="n">
        <x:v>366</x:v>
      </x:c>
    </x:row>
    <x:row r="473">
      <x:c r="A473" t="n">
        <x:v>7</x:v>
      </x:c>
      <x:c r="B473" t="n">
        <x:v>40</x:v>
      </x:c>
      <x:c r="C473" t="str">
        <x:v>B</x:v>
      </x:c>
      <x:c r="D473" s="42" t="n">
        <x:v>230</x:v>
      </x:c>
      <x:c r="E473" s="44"/>
      <x:c r="F473" s="44"/>
      <x:c r="G473" s="44"/>
      <x:c r="H473" s="42" t="str">
        <x:f>IF(COUNT(E473:G473)=0,"",E473+IF(F473="",0,F473)-IF(G473="",0,G473))</x:f>
      </x:c>
      <x:c r="I473" s="42" t="str">
        <x:f>IF(H473="","",MAX(0,L473-H473))</x:f>
      </x:c>
      <x:c r="J473" t="str">
        <x:f>IF(H473="","UNKNOWN - inventory not entered",IF(H473&lt;=D473,"REORDER NOW",IF(H473&lt;=1.2*D473,"WATCH","OK")))</x:f>
        <x:v>UNKNOWN - inventory not entered</x:v>
      </x:c>
      <x:c r="K473" t="str">
        <x:v>Lower</x:v>
      </x:c>
      <x:c r="L473" t="n">
        <x:v>357</x:v>
      </x:c>
    </x:row>
    <x:row r="474">
      <x:c r="A474" t="n">
        <x:v>7</x:v>
      </x:c>
      <x:c r="B474" t="n">
        <x:v>44</x:v>
      </x:c>
      <x:c r="C474" t="str">
        <x:v>B</x:v>
      </x:c>
      <x:c r="D474" s="42" t="n">
        <x:v>257</x:v>
      </x:c>
      <x:c r="E474" s="44"/>
      <x:c r="F474" s="44"/>
      <x:c r="G474" s="44"/>
      <x:c r="H474" s="42" t="str">
        <x:f>IF(COUNT(E474:G474)=0,"",E474+IF(F474="",0,F474)-IF(G474="",0,G474))</x:f>
      </x:c>
      <x:c r="I474" s="42" t="str">
        <x:f>IF(H474="","",MAX(0,L474-H474))</x:f>
      </x:c>
      <x:c r="J474" t="str">
        <x:f>IF(H474="","UNKNOWN - inventory not entered",IF(H474&lt;=D474,"REORDER NOW",IF(H474&lt;=1.2*D474,"WATCH","OK")))</x:f>
        <x:v>UNKNOWN - inventory not entered</x:v>
      </x:c>
      <x:c r="K474" t="str">
        <x:v>Lower</x:v>
      </x:c>
      <x:c r="L474" t="n">
        <x:v>368</x:v>
      </x:c>
    </x:row>
    <x:row r="475">
      <x:c r="A475" t="n">
        <x:v>1</x:v>
      </x:c>
      <x:c r="B475" t="n">
        <x:v>4</x:v>
      </x:c>
      <x:c r="C475" t="str">
        <x:v>C</x:v>
      </x:c>
      <x:c r="D475" s="42" t="n">
        <x:v>246</x:v>
      </x:c>
      <x:c r="E475" s="44"/>
      <x:c r="F475" s="44"/>
      <x:c r="G475" s="44"/>
      <x:c r="H475" s="42" t="str">
        <x:f>IF(COUNT(E475:G475)=0,"",E475+IF(F475="",0,F475)-IF(G475="",0,G475))</x:f>
      </x:c>
      <x:c r="I475" s="42" t="str">
        <x:f>IF(H475="","",MAX(0,L475-H475))</x:f>
      </x:c>
      <x:c r="J475" t="str">
        <x:f>IF(H475="","UNKNOWN - inventory not entered",IF(H475&lt;=D475,"REORDER NOW",IF(H475&lt;=1.2*D475,"WATCH","OK")))</x:f>
        <x:v>UNKNOWN - inventory not entered</x:v>
      </x:c>
      <x:c r="K475" t="str">
        <x:v>Lower</x:v>
      </x:c>
      <x:c r="L475" t="n">
        <x:v>375</x:v>
      </x:c>
    </x:row>
    <x:row r="476">
      <x:c r="A476" t="n">
        <x:v>5</x:v>
      </x:c>
      <x:c r="B476" t="n">
        <x:v>34</x:v>
      </x:c>
      <x:c r="C476" t="str">
        <x:v>B</x:v>
      </x:c>
      <x:c r="D476" s="42" t="n">
        <x:v>267</x:v>
      </x:c>
      <x:c r="E476" s="44"/>
      <x:c r="F476" s="44"/>
      <x:c r="G476" s="44"/>
      <x:c r="H476" s="42" t="str">
        <x:f>IF(COUNT(E476:G476)=0,"",E476+IF(F476="",0,F476)-IF(G476="",0,G476))</x:f>
      </x:c>
      <x:c r="I476" s="42" t="str">
        <x:f>IF(H476="","",MAX(0,L476-H476))</x:f>
      </x:c>
      <x:c r="J476" t="str">
        <x:f>IF(H476="","UNKNOWN - inventory not entered",IF(H476&lt;=D476,"REORDER NOW",IF(H476&lt;=1.2*D476,"WATCH","OK")))</x:f>
        <x:v>UNKNOWN - inventory not entered</x:v>
      </x:c>
      <x:c r="K476" t="str">
        <x:v>Lower</x:v>
      </x:c>
      <x:c r="L476" t="n">
        <x:v>385</x:v>
      </x:c>
    </x:row>
    <x:row r="477">
      <x:c r="A477" t="n">
        <x:v>6</x:v>
      </x:c>
      <x:c r="B477" t="n">
        <x:v>34</x:v>
      </x:c>
      <x:c r="C477" t="str">
        <x:v>B</x:v>
      </x:c>
      <x:c r="D477" s="42" t="n">
        <x:v>256</x:v>
      </x:c>
      <x:c r="E477" s="44"/>
      <x:c r="F477" s="44"/>
      <x:c r="G477" s="44"/>
      <x:c r="H477" s="42" t="str">
        <x:f>IF(COUNT(E477:G477)=0,"",E477+IF(F477="",0,F477)-IF(G477="",0,G477))</x:f>
      </x:c>
      <x:c r="I477" s="42" t="str">
        <x:f>IF(H477="","",MAX(0,L477-H477))</x:f>
      </x:c>
      <x:c r="J477" t="str">
        <x:f>IF(H477="","UNKNOWN - inventory not entered",IF(H477&lt;=D477,"REORDER NOW",IF(H477&lt;=1.2*D477,"WATCH","OK")))</x:f>
        <x:v>UNKNOWN - inventory not entered</x:v>
      </x:c>
      <x:c r="K477" t="str">
        <x:v>Lower</x:v>
      </x:c>
      <x:c r="L477" t="n">
        <x:v>359</x:v>
      </x:c>
    </x:row>
    <x:row r="478">
      <x:c r="A478" t="n">
        <x:v>1</x:v>
      </x:c>
      <x:c r="B478" t="n">
        <x:v>41</x:v>
      </x:c>
      <x:c r="C478" t="str">
        <x:v>C</x:v>
      </x:c>
      <x:c r="D478" s="42" t="n">
        <x:v>260</x:v>
      </x:c>
      <x:c r="E478" s="44"/>
      <x:c r="F478" s="44"/>
      <x:c r="G478" s="44"/>
      <x:c r="H478" s="42" t="str">
        <x:f>IF(COUNT(E478:G478)=0,"",E478+IF(F478="",0,F478)-IF(G478="",0,G478))</x:f>
      </x:c>
      <x:c r="I478" s="42" t="str">
        <x:f>IF(H478="","",MAX(0,L478-H478))</x:f>
      </x:c>
      <x:c r="J478" t="str">
        <x:f>IF(H478="","UNKNOWN - inventory not entered",IF(H478&lt;=D478,"REORDER NOW",IF(H478&lt;=1.2*D478,"WATCH","OK")))</x:f>
        <x:v>UNKNOWN - inventory not entered</x:v>
      </x:c>
      <x:c r="K478" t="str">
        <x:v>Lower</x:v>
      </x:c>
      <x:c r="L478" t="n">
        <x:v>372</x:v>
      </x:c>
    </x:row>
    <x:row r="479">
      <x:c r="A479" t="n">
        <x:v>1</x:v>
      </x:c>
      <x:c r="B479" t="n">
        <x:v>27</x:v>
      </x:c>
      <x:c r="C479" t="str">
        <x:v>C</x:v>
      </x:c>
      <x:c r="D479" s="42" t="n">
        <x:v>217</x:v>
      </x:c>
      <x:c r="E479" s="44"/>
      <x:c r="F479" s="44"/>
      <x:c r="G479" s="44"/>
      <x:c r="H479" s="42" t="str">
        <x:f>IF(COUNT(E479:G479)=0,"",E479+IF(F479="",0,F479)-IF(G479="",0,G479))</x:f>
      </x:c>
      <x:c r="I479" s="42" t="str">
        <x:f>IF(H479="","",MAX(0,L479-H479))</x:f>
      </x:c>
      <x:c r="J479" t="str">
        <x:f>IF(H479="","UNKNOWN - inventory not entered",IF(H479&lt;=D479,"REORDER NOW",IF(H479&lt;=1.2*D479,"WATCH","OK")))</x:f>
        <x:v>UNKNOWN - inventory not entered</x:v>
      </x:c>
      <x:c r="K479" t="str">
        <x:v>Lower</x:v>
      </x:c>
      <x:c r="L479" t="n">
        <x:v>341</x:v>
      </x:c>
    </x:row>
    <x:row r="480">
      <x:c r="A480" t="n">
        <x:v>4</x:v>
      </x:c>
      <x:c r="B480" t="n">
        <x:v>5</x:v>
      </x:c>
      <x:c r="C480" t="str">
        <x:v>C</x:v>
      </x:c>
      <x:c r="D480" s="42" t="n">
        <x:v>268</x:v>
      </x:c>
      <x:c r="E480" s="44"/>
      <x:c r="F480" s="44"/>
      <x:c r="G480" s="44"/>
      <x:c r="H480" s="42" t="str">
        <x:f>IF(COUNT(E480:G480)=0,"",E480+IF(F480="",0,F480)-IF(G480="",0,G480))</x:f>
      </x:c>
      <x:c r="I480" s="42" t="str">
        <x:f>IF(H480="","",MAX(0,L480-H480))</x:f>
      </x:c>
      <x:c r="J480" t="str">
        <x:f>IF(H480="","UNKNOWN - inventory not entered",IF(H480&lt;=D480,"REORDER NOW",IF(H480&lt;=1.2*D480,"WATCH","OK")))</x:f>
        <x:v>UNKNOWN - inventory not entered</x:v>
      </x:c>
      <x:c r="K480" t="str">
        <x:v>Lower</x:v>
      </x:c>
      <x:c r="L480" t="n">
        <x:v>371</x:v>
      </x:c>
    </x:row>
    <x:row r="481">
      <x:c r="A481" t="n">
        <x:v>1</x:v>
      </x:c>
      <x:c r="B481" t="n">
        <x:v>1</x:v>
      </x:c>
      <x:c r="C481" t="str">
        <x:v>C</x:v>
      </x:c>
      <x:c r="D481" s="42" t="n">
        <x:v>263</x:v>
      </x:c>
      <x:c r="E481" s="44"/>
      <x:c r="F481" s="44"/>
      <x:c r="G481" s="44"/>
      <x:c r="H481" s="42" t="str">
        <x:f>IF(COUNT(E481:G481)=0,"",E481+IF(F481="",0,F481)-IF(G481="",0,G481))</x:f>
      </x:c>
      <x:c r="I481" s="42" t="str">
        <x:f>IF(H481="","",MAX(0,L481-H481))</x:f>
      </x:c>
      <x:c r="J481" t="str">
        <x:f>IF(H481="","UNKNOWN - inventory not entered",IF(H481&lt;=D481,"REORDER NOW",IF(H481&lt;=1.2*D481,"WATCH","OK")))</x:f>
        <x:v>UNKNOWN - inventory not entered</x:v>
      </x:c>
      <x:c r="K481" t="str">
        <x:v>Lower</x:v>
      </x:c>
      <x:c r="L481" t="n">
        <x:v>383</x:v>
      </x:c>
    </x:row>
    <x:row r="482">
      <x:c r="A482" t="n">
        <x:v>1</x:v>
      </x:c>
      <x:c r="B482" t="n">
        <x:v>47</x:v>
      </x:c>
      <x:c r="C482" t="str">
        <x:v>C</x:v>
      </x:c>
      <x:c r="D482" s="42" t="n">
        <x:v>243</x:v>
      </x:c>
      <x:c r="E482" s="44"/>
      <x:c r="F482" s="44"/>
      <x:c r="G482" s="44"/>
      <x:c r="H482" s="42" t="str">
        <x:f>IF(COUNT(E482:G482)=0,"",E482+IF(F482="",0,F482)-IF(G482="",0,G482))</x:f>
      </x:c>
      <x:c r="I482" s="42" t="str">
        <x:f>IF(H482="","",MAX(0,L482-H482))</x:f>
      </x:c>
      <x:c r="J482" t="str">
        <x:f>IF(H482="","UNKNOWN - inventory not entered",IF(H482&lt;=D482,"REORDER NOW",IF(H482&lt;=1.2*D482,"WATCH","OK")))</x:f>
        <x:v>UNKNOWN - inventory not entered</x:v>
      </x:c>
      <x:c r="K482" t="str">
        <x:v>Lower</x:v>
      </x:c>
      <x:c r="L482" t="n">
        <x:v>345</x:v>
      </x:c>
    </x:row>
    <x:row r="483">
      <x:c r="A483" t="n">
        <x:v>5</x:v>
      </x:c>
      <x:c r="B483" t="n">
        <x:v>16</x:v>
      </x:c>
      <x:c r="C483" t="str">
        <x:v>C</x:v>
      </x:c>
      <x:c r="D483" s="42" t="n">
        <x:v>241</x:v>
      </x:c>
      <x:c r="E483" s="44"/>
      <x:c r="F483" s="44"/>
      <x:c r="G483" s="44"/>
      <x:c r="H483" s="42" t="str">
        <x:f>IF(COUNT(E483:G483)=0,"",E483+IF(F483="",0,F483)-IF(G483="",0,G483))</x:f>
      </x:c>
      <x:c r="I483" s="42" t="str">
        <x:f>IF(H483="","",MAX(0,L483-H483))</x:f>
      </x:c>
      <x:c r="J483" t="str">
        <x:f>IF(H483="","UNKNOWN - inventory not entered",IF(H483&lt;=D483,"REORDER NOW",IF(H483&lt;=1.2*D483,"WATCH","OK")))</x:f>
        <x:v>UNKNOWN - inventory not entered</x:v>
      </x:c>
      <x:c r="K483" t="str">
        <x:v>Lower</x:v>
      </x:c>
      <x:c r="L483" t="n">
        <x:v>347</x:v>
      </x:c>
    </x:row>
    <x:row r="484">
      <x:c r="A484" t="n">
        <x:v>7</x:v>
      </x:c>
      <x:c r="B484" t="n">
        <x:v>16</x:v>
      </x:c>
      <x:c r="C484" t="str">
        <x:v>C</x:v>
      </x:c>
      <x:c r="D484" s="42" t="n">
        <x:v>212</x:v>
      </x:c>
      <x:c r="E484" s="44"/>
      <x:c r="F484" s="44"/>
      <x:c r="G484" s="44"/>
      <x:c r="H484" s="42" t="str">
        <x:f>IF(COUNT(E484:G484)=0,"",E484+IF(F484="",0,F484)-IF(G484="",0,G484))</x:f>
      </x:c>
      <x:c r="I484" s="42" t="str">
        <x:f>IF(H484="","",MAX(0,L484-H484))</x:f>
      </x:c>
      <x:c r="J484" t="str">
        <x:f>IF(H484="","UNKNOWN - inventory not entered",IF(H484&lt;=D484,"REORDER NOW",IF(H484&lt;=1.2*D484,"WATCH","OK")))</x:f>
        <x:v>UNKNOWN - inventory not entered</x:v>
      </x:c>
      <x:c r="K484" t="str">
        <x:v>Lower</x:v>
      </x:c>
      <x:c r="L484" t="n">
        <x:v>317</x:v>
      </x:c>
    </x:row>
    <x:row r="485">
      <x:c r="A485" t="n">
        <x:v>7</x:v>
      </x:c>
      <x:c r="B485" t="n">
        <x:v>34</x:v>
      </x:c>
      <x:c r="C485" t="str">
        <x:v>B</x:v>
      </x:c>
      <x:c r="D485" s="42" t="n">
        <x:v>245</x:v>
      </x:c>
      <x:c r="E485" s="44"/>
      <x:c r="F485" s="44"/>
      <x:c r="G485" s="44"/>
      <x:c r="H485" s="42" t="str">
        <x:f>IF(COUNT(E485:G485)=0,"",E485+IF(F485="",0,F485)-IF(G485="",0,G485))</x:f>
      </x:c>
      <x:c r="I485" s="42" t="str">
        <x:f>IF(H485="","",MAX(0,L485-H485))</x:f>
      </x:c>
      <x:c r="J485" t="str">
        <x:f>IF(H485="","UNKNOWN - inventory not entered",IF(H485&lt;=D485,"REORDER NOW",IF(H485&lt;=1.2*D485,"WATCH","OK")))</x:f>
        <x:v>UNKNOWN - inventory not entered</x:v>
      </x:c>
      <x:c r="K485" t="str">
        <x:v>Lower</x:v>
      </x:c>
      <x:c r="L485" t="n">
        <x:v>355</x:v>
      </x:c>
    </x:row>
    <x:row r="486">
      <x:c r="A486" t="n">
        <x:v>6</x:v>
      </x:c>
      <x:c r="B486" t="n">
        <x:v>27</x:v>
      </x:c>
      <x:c r="C486" t="str">
        <x:v>C</x:v>
      </x:c>
      <x:c r="D486" s="42" t="n">
        <x:v>234</x:v>
      </x:c>
      <x:c r="E486" s="44"/>
      <x:c r="F486" s="44"/>
      <x:c r="G486" s="44"/>
      <x:c r="H486" s="42" t="str">
        <x:f>IF(COUNT(E486:G486)=0,"",E486+IF(F486="",0,F486)-IF(G486="",0,G486))</x:f>
      </x:c>
      <x:c r="I486" s="42" t="str">
        <x:f>IF(H486="","",MAX(0,L486-H486))</x:f>
      </x:c>
      <x:c r="J486" t="str">
        <x:f>IF(H486="","UNKNOWN - inventory not entered",IF(H486&lt;=D486,"REORDER NOW",IF(H486&lt;=1.2*D486,"WATCH","OK")))</x:f>
        <x:v>UNKNOWN - inventory not entered</x:v>
      </x:c>
      <x:c r="K486" t="str">
        <x:v>Lower</x:v>
      </x:c>
      <x:c r="L486" t="n">
        <x:v>334</x:v>
      </x:c>
    </x:row>
    <x:row r="487">
      <x:c r="A487" t="n">
        <x:v>1</x:v>
      </x:c>
      <x:c r="B487" t="n">
        <x:v>5</x:v>
      </x:c>
      <x:c r="C487" t="str">
        <x:v>C</x:v>
      </x:c>
      <x:c r="D487" s="42" t="n">
        <x:v>231</x:v>
      </x:c>
      <x:c r="E487" s="44"/>
      <x:c r="F487" s="44"/>
      <x:c r="G487" s="44"/>
      <x:c r="H487" s="42" t="str">
        <x:f>IF(COUNT(E487:G487)=0,"",E487+IF(F487="",0,F487)-IF(G487="",0,G487))</x:f>
      </x:c>
      <x:c r="I487" s="42" t="str">
        <x:f>IF(H487="","",MAX(0,L487-H487))</x:f>
      </x:c>
      <x:c r="J487" t="str">
        <x:f>IF(H487="","UNKNOWN - inventory not entered",IF(H487&lt;=D487,"REORDER NOW",IF(H487&lt;=1.2*D487,"WATCH","OK")))</x:f>
        <x:v>UNKNOWN - inventory not entered</x:v>
      </x:c>
      <x:c r="K487" t="str">
        <x:v>Lower</x:v>
      </x:c>
      <x:c r="L487" t="n">
        <x:v>330</x:v>
      </x:c>
    </x:row>
    <x:row r="488">
      <x:c r="A488" t="n">
        <x:v>6</x:v>
      </x:c>
      <x:c r="B488" t="n">
        <x:v>47</x:v>
      </x:c>
      <x:c r="C488" t="str">
        <x:v>C</x:v>
      </x:c>
      <x:c r="D488" s="42" t="n">
        <x:v>208</x:v>
      </x:c>
      <x:c r="E488" s="44"/>
      <x:c r="F488" s="44"/>
      <x:c r="G488" s="44"/>
      <x:c r="H488" s="42" t="str">
        <x:f>IF(COUNT(E488:G488)=0,"",E488+IF(F488="",0,F488)-IF(G488="",0,G488))</x:f>
      </x:c>
      <x:c r="I488" s="42" t="str">
        <x:f>IF(H488="","",MAX(0,L488-H488))</x:f>
      </x:c>
      <x:c r="J488" t="str">
        <x:f>IF(H488="","UNKNOWN - inventory not entered",IF(H488&lt;=D488,"REORDER NOW",IF(H488&lt;=1.2*D488,"WATCH","OK")))</x:f>
        <x:v>UNKNOWN - inventory not entered</x:v>
      </x:c>
      <x:c r="K488" t="str">
        <x:v>Lower</x:v>
      </x:c>
      <x:c r="L488" t="n">
        <x:v>299</x:v>
      </x:c>
    </x:row>
    <x:row r="489">
      <x:c r="A489" t="n">
        <x:v>6</x:v>
      </x:c>
      <x:c r="B489" t="n">
        <x:v>1</x:v>
      </x:c>
      <x:c r="C489" t="str">
        <x:v>C</x:v>
      </x:c>
      <x:c r="D489" s="42" t="n">
        <x:v>219</x:v>
      </x:c>
      <x:c r="E489" s="44"/>
      <x:c r="F489" s="44"/>
      <x:c r="G489" s="44"/>
      <x:c r="H489" s="42" t="str">
        <x:f>IF(COUNT(E489:G489)=0,"",E489+IF(F489="",0,F489)-IF(G489="",0,G489))</x:f>
      </x:c>
      <x:c r="I489" s="42" t="str">
        <x:f>IF(H489="","",MAX(0,L489-H489))</x:f>
      </x:c>
      <x:c r="J489" t="str">
        <x:f>IF(H489="","UNKNOWN - inventory not entered",IF(H489&lt;=D489,"REORDER NOW",IF(H489&lt;=1.2*D489,"WATCH","OK")))</x:f>
        <x:v>UNKNOWN - inventory not entered</x:v>
      </x:c>
      <x:c r="K489" t="str">
        <x:v>Lower</x:v>
      </x:c>
      <x:c r="L489" t="n">
        <x:v>328</x:v>
      </x:c>
    </x:row>
    <x:row r="490">
      <x:c r="A490" t="n">
        <x:v>5</x:v>
      </x:c>
      <x:c r="B490" t="n">
        <x:v>1</x:v>
      </x:c>
      <x:c r="C490" t="str">
        <x:v>C</x:v>
      </x:c>
      <x:c r="D490" s="42" t="n">
        <x:v>208</x:v>
      </x:c>
      <x:c r="E490" s="44"/>
      <x:c r="F490" s="44"/>
      <x:c r="G490" s="44"/>
      <x:c r="H490" s="42" t="str">
        <x:f>IF(COUNT(E490:G490)=0,"",E490+IF(F490="",0,F490)-IF(G490="",0,G490))</x:f>
      </x:c>
      <x:c r="I490" s="42" t="str">
        <x:f>IF(H490="","",MAX(0,L490-H490))</x:f>
      </x:c>
      <x:c r="J490" t="str">
        <x:f>IF(H490="","UNKNOWN - inventory not entered",IF(H490&lt;=D490,"REORDER NOW",IF(H490&lt;=1.2*D490,"WATCH","OK")))</x:f>
        <x:v>UNKNOWN - inventory not entered</x:v>
      </x:c>
      <x:c r="K490" t="str">
        <x:v>Lower</x:v>
      </x:c>
      <x:c r="L490" t="n">
        <x:v>307</x:v>
      </x:c>
    </x:row>
    <x:row r="491">
      <x:c r="A491" t="n">
        <x:v>5</x:v>
      </x:c>
      <x:c r="B491" t="n">
        <x:v>4</x:v>
      </x:c>
      <x:c r="C491" t="str">
        <x:v>C</x:v>
      </x:c>
      <x:c r="D491" s="42" t="n">
        <x:v>205</x:v>
      </x:c>
      <x:c r="E491" s="44"/>
      <x:c r="F491" s="44"/>
      <x:c r="G491" s="44"/>
      <x:c r="H491" s="42" t="str">
        <x:f>IF(COUNT(E491:G491)=0,"",E491+IF(F491="",0,F491)-IF(G491="",0,G491))</x:f>
      </x:c>
      <x:c r="I491" s="42" t="str">
        <x:f>IF(H491="","",MAX(0,L491-H491))</x:f>
      </x:c>
      <x:c r="J491" t="str">
        <x:f>IF(H491="","UNKNOWN - inventory not entered",IF(H491&lt;=D491,"REORDER NOW",IF(H491&lt;=1.2*D491,"WATCH","OK")))</x:f>
        <x:v>UNKNOWN - inventory not entered</x:v>
      </x:c>
      <x:c r="K491" t="str">
        <x:v>Lower</x:v>
      </x:c>
      <x:c r="L491" t="n">
        <x:v>291</x:v>
      </x:c>
    </x:row>
    <x:row r="492">
      <x:c r="A492" t="n">
        <x:v>5</x:v>
      </x:c>
      <x:c r="B492" t="n">
        <x:v>27</x:v>
      </x:c>
      <x:c r="C492" t="str">
        <x:v>C</x:v>
      </x:c>
      <x:c r="D492" s="42" t="n">
        <x:v>232</x:v>
      </x:c>
      <x:c r="E492" s="44"/>
      <x:c r="F492" s="44"/>
      <x:c r="G492" s="44"/>
      <x:c r="H492" s="42" t="str">
        <x:f>IF(COUNT(E492:G492)=0,"",E492+IF(F492="",0,F492)-IF(G492="",0,G492))</x:f>
      </x:c>
      <x:c r="I492" s="42" t="str">
        <x:f>IF(H492="","",MAX(0,L492-H492))</x:f>
      </x:c>
      <x:c r="J492" t="str">
        <x:f>IF(H492="","UNKNOWN - inventory not entered",IF(H492&lt;=D492,"REORDER NOW",IF(H492&lt;=1.2*D492,"WATCH","OK")))</x:f>
        <x:v>UNKNOWN - inventory not entered</x:v>
      </x:c>
      <x:c r="K492" t="str">
        <x:v>Lower</x:v>
      </x:c>
      <x:c r="L492" t="n">
        <x:v>327</x:v>
      </x:c>
    </x:row>
    <x:row r="493">
      <x:c r="A493" t="n">
        <x:v>5</x:v>
      </x:c>
      <x:c r="B493" t="n">
        <x:v>41</x:v>
      </x:c>
      <x:c r="C493" t="str">
        <x:v>C</x:v>
      </x:c>
      <x:c r="D493" s="42" t="n">
        <x:v>231</x:v>
      </x:c>
      <x:c r="E493" s="44"/>
      <x:c r="F493" s="44"/>
      <x:c r="G493" s="44"/>
      <x:c r="H493" s="42" t="str">
        <x:f>IF(COUNT(E493:G493)=0,"",E493+IF(F493="",0,F493)-IF(G493="",0,G493))</x:f>
      </x:c>
      <x:c r="I493" s="42" t="str">
        <x:f>IF(H493="","",MAX(0,L493-H493))</x:f>
      </x:c>
      <x:c r="J493" t="str">
        <x:f>IF(H493="","UNKNOWN - inventory not entered",IF(H493&lt;=D493,"REORDER NOW",IF(H493&lt;=1.2*D493,"WATCH","OK")))</x:f>
        <x:v>UNKNOWN - inventory not entered</x:v>
      </x:c>
      <x:c r="K493" t="str">
        <x:v>Lower</x:v>
      </x:c>
      <x:c r="L493" t="n">
        <x:v>317</x:v>
      </x:c>
    </x:row>
    <x:row r="494">
      <x:c r="A494" t="n">
        <x:v>6</x:v>
      </x:c>
      <x:c r="B494" t="n">
        <x:v>4</x:v>
      </x:c>
      <x:c r="C494" t="str">
        <x:v>C</x:v>
      </x:c>
      <x:c r="D494" s="42" t="n">
        <x:v>214</x:v>
      </x:c>
      <x:c r="E494" s="44"/>
      <x:c r="F494" s="44"/>
      <x:c r="G494" s="44"/>
      <x:c r="H494" s="42" t="str">
        <x:f>IF(COUNT(E494:G494)=0,"",E494+IF(F494="",0,F494)-IF(G494="",0,G494))</x:f>
      </x:c>
      <x:c r="I494" s="42" t="str">
        <x:f>IF(H494="","",MAX(0,L494-H494))</x:f>
      </x:c>
      <x:c r="J494" t="str">
        <x:f>IF(H494="","UNKNOWN - inventory not entered",IF(H494&lt;=D494,"REORDER NOW",IF(H494&lt;=1.2*D494,"WATCH","OK")))</x:f>
        <x:v>UNKNOWN - inventory not entered</x:v>
      </x:c>
      <x:c r="K494" t="str">
        <x:v>Lower</x:v>
      </x:c>
      <x:c r="L494" t="n">
        <x:v>297</x:v>
      </x:c>
    </x:row>
    <x:row r="495">
      <x:c r="A495" t="n">
        <x:v>5</x:v>
      </x:c>
      <x:c r="B495" t="n">
        <x:v>47</x:v>
      </x:c>
      <x:c r="C495" t="str">
        <x:v>C</x:v>
      </x:c>
      <x:c r="D495" s="42" t="n">
        <x:v>230</x:v>
      </x:c>
      <x:c r="E495" s="44"/>
      <x:c r="F495" s="44"/>
      <x:c r="G495" s="44"/>
      <x:c r="H495" s="42" t="str">
        <x:f>IF(COUNT(E495:G495)=0,"",E495+IF(F495="",0,F495)-IF(G495="",0,G495))</x:f>
      </x:c>
      <x:c r="I495" s="42" t="str">
        <x:f>IF(H495="","",MAX(0,L495-H495))</x:f>
      </x:c>
      <x:c r="J495" t="str">
        <x:f>IF(H495="","UNKNOWN - inventory not entered",IF(H495&lt;=D495,"REORDER NOW",IF(H495&lt;=1.2*D495,"WATCH","OK")))</x:f>
        <x:v>UNKNOWN - inventory not entered</x:v>
      </x:c>
      <x:c r="K495" t="str">
        <x:v>Lower</x:v>
      </x:c>
      <x:c r="L495" t="n">
        <x:v>333</x:v>
      </x:c>
    </x:row>
    <x:row r="496">
      <x:c r="A496" t="n">
        <x:v>6</x:v>
      </x:c>
      <x:c r="B496" t="n">
        <x:v>41</x:v>
      </x:c>
      <x:c r="C496" t="str">
        <x:v>C</x:v>
      </x:c>
      <x:c r="D496" s="42" t="n">
        <x:v>225</x:v>
      </x:c>
      <x:c r="E496" s="44"/>
      <x:c r="F496" s="44"/>
      <x:c r="G496" s="44"/>
      <x:c r="H496" s="42" t="str">
        <x:f>IF(COUNT(E496:G496)=0,"",E496+IF(F496="",0,F496)-IF(G496="",0,G496))</x:f>
      </x:c>
      <x:c r="I496" s="42" t="str">
        <x:f>IF(H496="","",MAX(0,L496-H496))</x:f>
      </x:c>
      <x:c r="J496" t="str">
        <x:f>IF(H496="","UNKNOWN - inventory not entered",IF(H496&lt;=D496,"REORDER NOW",IF(H496&lt;=1.2*D496,"WATCH","OK")))</x:f>
        <x:v>UNKNOWN - inventory not entered</x:v>
      </x:c>
      <x:c r="K496" t="str">
        <x:v>Lower</x:v>
      </x:c>
      <x:c r="L496" t="n">
        <x:v>319</x:v>
      </x:c>
    </x:row>
    <x:row r="497">
      <x:c r="A497" t="n">
        <x:v>7</x:v>
      </x:c>
      <x:c r="B497" t="n">
        <x:v>41</x:v>
      </x:c>
      <x:c r="C497" t="str">
        <x:v>C</x:v>
      </x:c>
      <x:c r="D497" s="42" t="n">
        <x:v>234</x:v>
      </x:c>
      <x:c r="E497" s="44"/>
      <x:c r="F497" s="44"/>
      <x:c r="G497" s="44"/>
      <x:c r="H497" s="42" t="str">
        <x:f>IF(COUNT(E497:G497)=0,"",E497+IF(F497="",0,F497)-IF(G497="",0,G497))</x:f>
      </x:c>
      <x:c r="I497" s="42" t="str">
        <x:f>IF(H497="","",MAX(0,L497-H497))</x:f>
      </x:c>
      <x:c r="J497" t="str">
        <x:f>IF(H497="","UNKNOWN - inventory not entered",IF(H497&lt;=D497,"REORDER NOW",IF(H497&lt;=1.2*D497,"WATCH","OK")))</x:f>
        <x:v>UNKNOWN - inventory not entered</x:v>
      </x:c>
      <x:c r="K497" t="str">
        <x:v>Lower</x:v>
      </x:c>
      <x:c r="L497" t="n">
        <x:v>319</x:v>
      </x:c>
    </x:row>
    <x:row r="498">
      <x:c r="A498" t="n">
        <x:v>7</x:v>
      </x:c>
      <x:c r="B498" t="n">
        <x:v>47</x:v>
      </x:c>
      <x:c r="C498" t="str">
        <x:v>C</x:v>
      </x:c>
      <x:c r="D498" s="42" t="n">
        <x:v>236</x:v>
      </x:c>
      <x:c r="E498" s="44"/>
      <x:c r="F498" s="44"/>
      <x:c r="G498" s="44"/>
      <x:c r="H498" s="42" t="str">
        <x:f>IF(COUNT(E498:G498)=0,"",E498+IF(F498="",0,F498)-IF(G498="",0,G498))</x:f>
      </x:c>
      <x:c r="I498" s="42" t="str">
        <x:f>IF(H498="","",MAX(0,L498-H498))</x:f>
      </x:c>
      <x:c r="J498" t="str">
        <x:f>IF(H498="","UNKNOWN - inventory not entered",IF(H498&lt;=D498,"REORDER NOW",IF(H498&lt;=1.2*D498,"WATCH","OK")))</x:f>
        <x:v>UNKNOWN - inventory not entered</x:v>
      </x:c>
      <x:c r="K498" t="str">
        <x:v>Lower</x:v>
      </x:c>
      <x:c r="L498" t="n">
        <x:v>325</x:v>
      </x:c>
    </x:row>
    <x:row r="499">
      <x:c r="A499" t="n">
        <x:v>7</x:v>
      </x:c>
      <x:c r="B499" t="n">
        <x:v>27</x:v>
      </x:c>
      <x:c r="C499" t="str">
        <x:v>C</x:v>
      </x:c>
      <x:c r="D499" s="42" t="n">
        <x:v>195</x:v>
      </x:c>
      <x:c r="E499" s="44"/>
      <x:c r="F499" s="44"/>
      <x:c r="G499" s="44"/>
      <x:c r="H499" s="42" t="str">
        <x:f>IF(COUNT(E499:G499)=0,"",E499+IF(F499="",0,F499)-IF(G499="",0,G499))</x:f>
      </x:c>
      <x:c r="I499" s="42" t="str">
        <x:f>IF(H499="","",MAX(0,L499-H499))</x:f>
      </x:c>
      <x:c r="J499" t="str">
        <x:f>IF(H499="","UNKNOWN - inventory not entered",IF(H499&lt;=D499,"REORDER NOW",IF(H499&lt;=1.2*D499,"WATCH","OK")))</x:f>
        <x:v>UNKNOWN - inventory not entered</x:v>
      </x:c>
      <x:c r="K499" t="str">
        <x:v>Lower</x:v>
      </x:c>
      <x:c r="L499" t="n">
        <x:v>287</x:v>
      </x:c>
    </x:row>
    <x:row r="500">
      <x:c r="A500" t="n">
        <x:v>7</x:v>
      </x:c>
      <x:c r="B500" t="n">
        <x:v>1</x:v>
      </x:c>
      <x:c r="C500" t="str">
        <x:v>C</x:v>
      </x:c>
      <x:c r="D500" s="42" t="n">
        <x:v>206</x:v>
      </x:c>
      <x:c r="E500" s="44"/>
      <x:c r="F500" s="44"/>
      <x:c r="G500" s="44"/>
      <x:c r="H500" s="42" t="str">
        <x:f>IF(COUNT(E500:G500)=0,"",E500+IF(F500="",0,F500)-IF(G500="",0,G500))</x:f>
      </x:c>
      <x:c r="I500" s="42" t="str">
        <x:f>IF(H500="","",MAX(0,L500-H500))</x:f>
      </x:c>
      <x:c r="J500" t="str">
        <x:f>IF(H500="","UNKNOWN - inventory not entered",IF(H500&lt;=D500,"REORDER NOW",IF(H500&lt;=1.2*D500,"WATCH","OK")))</x:f>
        <x:v>UNKNOWN - inventory not entered</x:v>
      </x:c>
      <x:c r="K500" t="str">
        <x:v>Lower</x:v>
      </x:c>
      <x:c r="L500" t="n">
        <x:v>292</x:v>
      </x:c>
    </x:row>
    <x:row r="501">
      <x:c r="A501" t="n">
        <x:v>7</x:v>
      </x:c>
      <x:c r="B501" t="n">
        <x:v>4</x:v>
      </x:c>
      <x:c r="C501" t="str">
        <x:v>C</x:v>
      </x:c>
      <x:c r="D501" s="42" t="n">
        <x:v>197</x:v>
      </x:c>
      <x:c r="E501" s="44"/>
      <x:c r="F501" s="44"/>
      <x:c r="G501" s="44"/>
      <x:c r="H501" s="42" t="str">
        <x:f>IF(COUNT(E501:G501)=0,"",E501+IF(F501="",0,F501)-IF(G501="",0,G501))</x:f>
      </x:c>
      <x:c r="I501" s="42" t="str">
        <x:f>IF(H501="","",MAX(0,L501-H501))</x:f>
      </x:c>
      <x:c r="J501" t="str">
        <x:f>IF(H501="","UNKNOWN - inventory not entered",IF(H501&lt;=D501,"REORDER NOW",IF(H501&lt;=1.2*D501,"WATCH","OK")))</x:f>
        <x:v>UNKNOWN - inventory not entered</x:v>
      </x:c>
      <x:c r="K501" t="str">
        <x:v>Lower</x:v>
      </x:c>
      <x:c r="L501" t="n">
        <x:v>285</x:v>
      </x:c>
    </x:row>
    <x:row r="502">
      <x:c r="A502" t="n">
        <x:v>5</x:v>
      </x:c>
      <x:c r="B502" t="n">
        <x:v>5</x:v>
      </x:c>
      <x:c r="C502" t="str">
        <x:v>C</x:v>
      </x:c>
      <x:c r="D502" s="42" t="n">
        <x:v>198</x:v>
      </x:c>
      <x:c r="E502" s="44"/>
      <x:c r="F502" s="44"/>
      <x:c r="G502" s="44"/>
      <x:c r="H502" s="42" t="str">
        <x:f>IF(COUNT(E502:G502)=0,"",E502+IF(F502="",0,F502)-IF(G502="",0,G502))</x:f>
      </x:c>
      <x:c r="I502" s="42" t="str">
        <x:f>IF(H502="","",MAX(0,L502-H502))</x:f>
      </x:c>
      <x:c r="J502" t="str">
        <x:f>IF(H502="","UNKNOWN - inventory not entered",IF(H502&lt;=D502,"REORDER NOW",IF(H502&lt;=1.2*D502,"WATCH","OK")))</x:f>
        <x:v>UNKNOWN - inventory not entered</x:v>
      </x:c>
      <x:c r="K502" t="str">
        <x:v>Lower</x:v>
      </x:c>
      <x:c r="L502" t="n">
        <x:v>277</x:v>
      </x:c>
    </x:row>
    <x:row r="503">
      <x:c r="A503" t="n">
        <x:v>6</x:v>
      </x:c>
      <x:c r="B503" t="n">
        <x:v>5</x:v>
      </x:c>
      <x:c r="C503" t="str">
        <x:v>C</x:v>
      </x:c>
      <x:c r="D503" s="42" t="n">
        <x:v>191</x:v>
      </x:c>
      <x:c r="E503" s="44"/>
      <x:c r="F503" s="44"/>
      <x:c r="G503" s="44"/>
      <x:c r="H503" s="42" t="str">
        <x:f>IF(COUNT(E503:G503)=0,"",E503+IF(F503="",0,F503)-IF(G503="",0,G503))</x:f>
      </x:c>
      <x:c r="I503" s="42" t="str">
        <x:f>IF(H503="","",MAX(0,L503-H503))</x:f>
      </x:c>
      <x:c r="J503" t="str">
        <x:f>IF(H503="","UNKNOWN - inventory not entered",IF(H503&lt;=D503,"REORDER NOW",IF(H503&lt;=1.2*D503,"WATCH","OK")))</x:f>
        <x:v>UNKNOWN - inventory not entered</x:v>
      </x:c>
      <x:c r="K503" t="str">
        <x:v>Lower</x:v>
      </x:c>
      <x:c r="L503" t="n">
        <x:v>274</x:v>
      </x:c>
    </x:row>
    <x:row r="504">
      <x:c r="A504" t="n">
        <x:v>7</x:v>
      </x:c>
      <x:c r="B504" t="n">
        <x:v>5</x:v>
      </x:c>
      <x:c r="C504" t="str">
        <x:v>C</x:v>
      </x:c>
      <x:c r="D504" s="42" t="n">
        <x:v>182</x:v>
      </x:c>
      <x:c r="E504" s="44"/>
      <x:c r="F504" s="44"/>
      <x:c r="G504" s="44"/>
      <x:c r="H504" s="42" t="str">
        <x:f>IF(COUNT(E504:G504)=0,"",E504+IF(F504="",0,F504)-IF(G504="",0,G504))</x:f>
      </x:c>
      <x:c r="I504" s="42" t="str">
        <x:f>IF(H504="","",MAX(0,L504-H504))</x:f>
      </x:c>
      <x:c r="J504" t="str">
        <x:f>IF(H504="","UNKNOWN - inventory not entered",IF(H504&lt;=D504,"REORDER NOW",IF(H504&lt;=1.2*D504,"WATCH","OK")))</x:f>
        <x:v>UNKNOWN - inventory not entered</x:v>
      </x:c>
      <x:c r="K504" t="str">
        <x:v>Lower</x:v>
      </x:c>
      <x:c r="L504" t="n">
        <x:v>243</x:v>
      </x:c>
    </x:row>
  </x:sheetData>
  <x:mergeCells>
    <x:mergeCell ref="A1:L1"/>
    <x:mergeCell ref="A2:L2"/>
  </x:mergeCells>
  <x:conditionalFormatting sqref="J5:J504">
    <x:cfRule type="expression" dxfId="0" priority="1">
      <x:formula>J5="REORDER NOW"</x:formula>
    </x:cfRule>
    <x:cfRule type="expression" dxfId="1" priority="2">
      <x:formula>J5="WATCH"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7ca21fbc3c45dd"/>
  </x:tableParts>
</x:worksheet>
</file>